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038CE28F-7553-41FA-B0EF-FC5263110528}" xr6:coauthVersionLast="47" xr6:coauthVersionMax="47" xr10:uidLastSave="{00000000-0000-0000-0000-000000000000}"/>
  <bookViews>
    <workbookView xWindow="-120" yWindow="-120" windowWidth="24240" windowHeight="13140" xr2:uid="{7337A202-13BE-4D5A-A7A4-E80BFE55AB33}"/>
  </bookViews>
  <sheets>
    <sheet name="TP BENEFICIAIRE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9" l="1"/>
  <c r="B27" i="9"/>
  <c r="B33" i="9" s="1"/>
  <c r="C24" i="9"/>
  <c r="C22" i="9"/>
  <c r="C33" i="9" s="1"/>
</calcChain>
</file>

<file path=xl/sharedStrings.xml><?xml version="1.0" encoding="utf-8"?>
<sst xmlns="http://schemas.openxmlformats.org/spreadsheetml/2006/main" count="40" uniqueCount="39">
  <si>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</si>
  <si>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</si>
  <si>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</si>
  <si>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</si>
  <si>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</si>
  <si>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>Régime d’imposition : T E E</t>
  </si>
  <si>
    <t xml:space="preserve">N°CC : 05 36 640 L                                                               </t>
  </si>
  <si>
    <t xml:space="preserve"> </t>
  </si>
  <si>
    <t>RUBRIQUES</t>
  </si>
  <si>
    <t>EMOLUMENTS</t>
  </si>
  <si>
    <t>TRESOR</t>
  </si>
  <si>
    <t>DEBOURS</t>
  </si>
  <si>
    <t>Etat Domanial</t>
  </si>
  <si>
    <t>Taxe foncière</t>
  </si>
  <si>
    <t>Demande d'ACD</t>
  </si>
  <si>
    <t>Débours divers de formalités</t>
  </si>
  <si>
    <t>SOUS / TOTAUX</t>
  </si>
  <si>
    <t>TOTAL A PAYER</t>
  </si>
  <si>
    <t>Sauf à parfaire ou à diminuer, veuillez arrêter la présente taxe prévisionnelle à la somme de:</t>
  </si>
  <si>
    <t>Me KOFFI-ABOUT AKOUA Mireille</t>
  </si>
  <si>
    <t>Akoua Mireille</t>
  </si>
  <si>
    <t>Droit d'enregistrement (4%)</t>
  </si>
  <si>
    <t>Art 135</t>
  </si>
  <si>
    <t>Emoluments de rôles</t>
  </si>
  <si>
    <t>Dépôt de courriers aux administrations</t>
  </si>
  <si>
    <t xml:space="preserve">PRIX DE CESSION :  </t>
  </si>
  <si>
    <t>Timbres fiscaux (Minutes)</t>
  </si>
  <si>
    <t>Timbres fiscaux (Expéditions)</t>
  </si>
  <si>
    <t>Demande de situation fiscale</t>
  </si>
  <si>
    <t>Emoluments proportionnels</t>
  </si>
  <si>
    <r>
      <t xml:space="preserve">En cas de règlement par chèque, merci de le libeller au nom de: </t>
    </r>
    <r>
      <rPr>
        <b/>
        <sz val="14"/>
        <color theme="1"/>
        <rFont val="Calibri"/>
        <family val="2"/>
        <scheme val="minor"/>
      </rPr>
      <t>ETUDE DE Me KOFFI-ABOUT</t>
    </r>
  </si>
  <si>
    <t>BASE DE CALCUL : 55 930 000</t>
  </si>
  <si>
    <t>Demande d'états foncier</t>
  </si>
  <si>
    <t>QUATRE MILLIONS CENT QUATRE VINGT ET UN MILLE SIX CENT SOIXANTE (4.181.660) FRANCS CFA.</t>
  </si>
  <si>
    <t xml:space="preserve">Abidjan le  </t>
  </si>
  <si>
    <t xml:space="preserve">ABANDON DE DROITS PAR </t>
  </si>
  <si>
    <t xml:space="preserve">Superficie: </t>
  </si>
  <si>
    <t xml:space="preserve">TYPE DE TERRAINS: </t>
  </si>
  <si>
    <t xml:space="preserve">Situation Géographique: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</si>
</sst>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€_-;\-* #,##0\ _€_-;_-* &quot;-&quot;??\ _€_-;_-@_-"/>
    <numFmt numFmtId="165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20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Font="1"/>
    <xf numFmtId="43" fontId="3" fillId="0" borderId="0" xfId="1" applyFont="1"/>
    <xf numFmtId="165" fontId="3" fillId="0" borderId="0" xfId="0" applyNumberFormat="1" applyFont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164" fontId="6" fillId="0" borderId="0" xfId="1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6" fillId="2" borderId="9" xfId="1" applyNumberFormat="1" applyFont="1" applyFill="1" applyBorder="1"/>
    <xf numFmtId="164" fontId="6" fillId="2" borderId="0" xfId="1" applyNumberFormat="1" applyFont="1" applyFill="1" applyBorder="1" applyAlignment="1">
      <alignment horizontal="center"/>
    </xf>
    <xf numFmtId="164" fontId="6" fillId="2" borderId="4" xfId="1" applyNumberFormat="1" applyFont="1" applyFill="1" applyBorder="1"/>
    <xf numFmtId="164" fontId="6" fillId="2" borderId="0" xfId="1" applyNumberFormat="1" applyFont="1" applyFill="1" applyBorder="1"/>
    <xf numFmtId="164" fontId="6" fillId="0" borderId="9" xfId="1" applyNumberFormat="1" applyFont="1" applyBorder="1"/>
    <xf numFmtId="164" fontId="6" fillId="0" borderId="0" xfId="1" applyNumberFormat="1" applyFont="1" applyBorder="1"/>
    <xf numFmtId="164" fontId="6" fillId="0" borderId="4" xfId="1" applyNumberFormat="1" applyFont="1" applyBorder="1"/>
    <xf numFmtId="0" fontId="7" fillId="0" borderId="2" xfId="0" applyFont="1" applyBorder="1"/>
    <xf numFmtId="164" fontId="7" fillId="0" borderId="2" xfId="1" applyNumberFormat="1" applyFont="1" applyBorder="1"/>
    <xf numFmtId="0" fontId="7" fillId="0" borderId="5" xfId="0" applyFont="1" applyBorder="1"/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0" xfId="0" applyFont="1"/>
    <xf numFmtId="0" fontId="0" fillId="2" borderId="0" xfId="0" applyFill="1"/>
    <xf numFmtId="164" fontId="7" fillId="2" borderId="8" xfId="1" applyNumberFormat="1" applyFont="1" applyFill="1" applyBorder="1" applyAlignment="1">
      <alignment vertical="center"/>
    </xf>
    <xf numFmtId="164" fontId="7" fillId="2" borderId="3" xfId="1" applyNumberFormat="1" applyFont="1" applyFill="1" applyBorder="1" applyAlignment="1">
      <alignment vertical="center" wrapText="1"/>
    </xf>
    <xf numFmtId="164" fontId="7" fillId="0" borderId="3" xfId="1" applyNumberFormat="1" applyFont="1" applyBorder="1"/>
    <xf numFmtId="164" fontId="7" fillId="0" borderId="8" xfId="1" applyNumberFormat="1" applyFont="1" applyBorder="1"/>
    <xf numFmtId="164" fontId="7" fillId="0" borderId="2" xfId="1" applyNumberFormat="1" applyFont="1" applyBorder="1" applyAlignment="1">
      <alignment vertical="center" wrapText="1"/>
    </xf>
    <xf numFmtId="0" fontId="5" fillId="0" borderId="0" xfId="0" applyFont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0</xdr:row>
      <xdr:rowOff>161925</xdr:rowOff>
    </xdr:from>
    <xdr:to>
      <xdr:col>3</xdr:col>
      <xdr:colOff>1333500</xdr:colOff>
      <xdr:row>4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FF63C3B-A1FC-493D-A597-3B3370356F10}"/>
            </a:ext>
          </a:extLst>
        </xdr:cNvPr>
        <xdr:cNvSpPr>
          <a:spLocks noChangeArrowheads="1"/>
        </xdr:cNvSpPr>
      </xdr:nvSpPr>
      <xdr:spPr bwMode="auto">
        <a:xfrm>
          <a:off x="4733925" y="161925"/>
          <a:ext cx="3295650" cy="1057275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2000" b="1" i="0" u="sng" strike="noStrike">
              <a:solidFill>
                <a:srgbClr val="000000"/>
              </a:solidFill>
              <a:latin typeface="Calibri"/>
              <a:cs typeface="Calibri"/>
            </a:rPr>
            <a:t>BENEFICIAIRE</a:t>
          </a:r>
          <a:r>
            <a:rPr lang="fr-FR" sz="2000" b="1" i="0" strike="noStrike">
              <a:solidFill>
                <a:srgbClr val="000000"/>
              </a:solidFill>
              <a:latin typeface="Calibri"/>
              <a:cs typeface="Calibri"/>
            </a:rPr>
            <a:t>:</a:t>
          </a:r>
        </a:p>
        <a:p>
          <a:pPr algn="ctr" rtl="0">
            <a:defRPr sz="1000"/>
          </a:pPr>
          <a:endParaRPr lang="fr-FR" sz="1000" b="1" i="0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fr-FR" sz="2000" b="1" i="0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CD0D-F028-43CC-92C9-2399DB3D7993}">
  <dimension ref="A1:L46"/>
  <sheetViews>
    <sheetView tabSelected="1" workbookViewId="0">
      <selection activeCell="F30" sqref="F30"/>
    </sheetView>
  </sheetViews>
  <sheetFormatPr baseColWidth="10" defaultRowHeight="15" x14ac:dyDescent="0.25"/>
  <cols>
    <col min="1" max="1" width="52.7109375" customWidth="1"/>
    <col min="2" max="2" width="33" customWidth="1"/>
    <col min="3" max="3" width="18.7109375" customWidth="1"/>
    <col min="4" max="4" width="22.140625" customWidth="1"/>
    <col min="6" max="7" width="12.85546875" bestFit="1" customWidth="1"/>
    <col min="9" max="9" width="13.85546875" bestFit="1" customWidth="1"/>
  </cols>
  <sheetData>
    <row r="1" spans="1:7" ht="21" x14ac:dyDescent="0.35">
      <c r="A1" s="11" t="s">
        <v>0</v>
      </c>
      <c r="B1" s="9"/>
      <c r="C1" s="9"/>
      <c r="D1" s="9"/>
    </row>
    <row r="2" spans="1:7" ht="21" x14ac:dyDescent="0.35">
      <c r="A2" s="11" t="s">
        <v>1</v>
      </c>
      <c r="B2" s="9"/>
      <c r="C2" s="9"/>
      <c r="D2" s="9"/>
    </row>
    <row r="3" spans="1:7" ht="21" x14ac:dyDescent="0.35">
      <c r="A3" s="9" t="s">
        <v>2</v>
      </c>
      <c r="B3" s="9"/>
      <c r="C3" s="9"/>
      <c r="D3" s="9"/>
    </row>
    <row r="4" spans="1:7" ht="21" x14ac:dyDescent="0.35">
      <c r="A4" s="9" t="s">
        <v>3</v>
      </c>
      <c r="B4" s="9"/>
      <c r="C4" s="9"/>
      <c r="D4" s="9"/>
    </row>
    <row r="5" spans="1:7" ht="21" x14ac:dyDescent="0.35">
      <c r="A5" s="9" t="s">
        <v>4</v>
      </c>
      <c r="B5" s="9"/>
      <c r="C5" s="9"/>
      <c r="D5" s="9"/>
    </row>
    <row r="6" spans="1:7" ht="21" x14ac:dyDescent="0.35">
      <c r="A6" s="9" t="s">
        <v>5</v>
      </c>
      <c r="B6" s="9"/>
      <c r="C6" s="9"/>
      <c r="D6" s="9"/>
    </row>
    <row r="7" spans="1:7" ht="21" x14ac:dyDescent="0.35">
      <c r="A7" s="9" t="s">
        <v>6</v>
      </c>
      <c r="B7" s="9"/>
      <c r="C7" s="9"/>
      <c r="D7" s="9"/>
    </row>
    <row r="8" spans="1:7" ht="21" x14ac:dyDescent="0.35">
      <c r="A8" s="9"/>
      <c r="B8" s="9"/>
      <c r="C8" s="9"/>
      <c r="D8" s="9"/>
    </row>
    <row r="9" spans="1:7" s="6" customFormat="1" ht="21" x14ac:dyDescent="0.35">
      <c r="A9" s="9" t="s">
        <v>34</v>
      </c>
      <c r="B9" s="9"/>
      <c r="C9" s="9"/>
      <c r="D9" s="9"/>
    </row>
    <row r="10" spans="1:7" ht="9" customHeight="1" x14ac:dyDescent="0.35">
      <c r="A10" s="9"/>
      <c r="B10" s="9"/>
      <c r="C10" s="9"/>
      <c r="D10" s="9"/>
    </row>
    <row r="11" spans="1:7" ht="21" x14ac:dyDescent="0.35">
      <c r="A11" s="10"/>
      <c r="B11" s="9"/>
      <c r="C11" s="9"/>
      <c r="D11" s="9"/>
    </row>
    <row r="12" spans="1:7" s="1" customFormat="1" ht="21" x14ac:dyDescent="0.35">
      <c r="A12" s="11" t="s">
        <v>35</v>
      </c>
      <c r="B12" s="9"/>
      <c r="C12" s="9"/>
      <c r="D12" s="9"/>
    </row>
    <row r="13" spans="1:7" s="1" customFormat="1" ht="21" x14ac:dyDescent="0.35">
      <c r="A13" s="11" t="s">
        <v>25</v>
      </c>
      <c r="B13" s="12" t="s">
        <v>7</v>
      </c>
      <c r="C13" s="9"/>
      <c r="D13" s="9"/>
    </row>
    <row r="14" spans="1:7" s="1" customFormat="1" ht="21" x14ac:dyDescent="0.35">
      <c r="A14" s="11" t="s">
        <v>31</v>
      </c>
      <c r="B14" s="12" t="s">
        <v>7</v>
      </c>
      <c r="C14" s="9"/>
      <c r="D14" s="9"/>
      <c r="F14" s="7"/>
      <c r="G14" s="8"/>
    </row>
    <row r="15" spans="1:7" s="1" customFormat="1" ht="21" x14ac:dyDescent="0.35">
      <c r="A15" s="11" t="s">
        <v>36</v>
      </c>
      <c r="B15" s="9"/>
      <c r="C15" s="9"/>
      <c r="D15" s="9"/>
    </row>
    <row r="16" spans="1:7" s="1" customFormat="1" ht="21" x14ac:dyDescent="0.35">
      <c r="A16" s="11" t="s">
        <v>37</v>
      </c>
      <c r="B16" s="9"/>
      <c r="C16" s="9"/>
      <c r="D16" s="9"/>
    </row>
    <row r="17" spans="1:9" s="1" customFormat="1" ht="21" x14ac:dyDescent="0.35">
      <c r="A17" s="11" t="s">
        <v>38</v>
      </c>
      <c r="B17" s="9"/>
      <c r="C17" s="9"/>
      <c r="D17" s="9"/>
    </row>
    <row r="18" spans="1:9" ht="14.25" customHeight="1" thickBot="1" x14ac:dyDescent="0.4">
      <c r="A18" s="11"/>
      <c r="B18" s="9"/>
      <c r="C18" s="9"/>
      <c r="D18" s="9"/>
    </row>
    <row r="19" spans="1:9" s="5" customFormat="1" ht="24.75" customHeight="1" thickBot="1" x14ac:dyDescent="0.3">
      <c r="A19" s="13" t="s">
        <v>8</v>
      </c>
      <c r="B19" s="14" t="s">
        <v>9</v>
      </c>
      <c r="C19" s="15" t="s">
        <v>10</v>
      </c>
      <c r="D19" s="16" t="s">
        <v>11</v>
      </c>
    </row>
    <row r="20" spans="1:9" ht="27" customHeight="1" x14ac:dyDescent="0.35">
      <c r="A20" s="27" t="s">
        <v>26</v>
      </c>
      <c r="B20" s="17"/>
      <c r="C20" s="18">
        <v>10000</v>
      </c>
      <c r="D20" s="19"/>
    </row>
    <row r="21" spans="1:9" ht="27" customHeight="1" x14ac:dyDescent="0.35">
      <c r="A21" s="27" t="s">
        <v>27</v>
      </c>
      <c r="B21" s="17"/>
      <c r="C21" s="18">
        <v>20000</v>
      </c>
      <c r="D21" s="19"/>
    </row>
    <row r="22" spans="1:9" ht="29.25" customHeight="1" x14ac:dyDescent="0.35">
      <c r="A22" s="28" t="s">
        <v>21</v>
      </c>
      <c r="B22" s="17"/>
      <c r="C22" s="20">
        <f>(55930000*4%)</f>
        <v>2237200</v>
      </c>
      <c r="D22" s="19"/>
    </row>
    <row r="23" spans="1:9" ht="27" customHeight="1" x14ac:dyDescent="0.35">
      <c r="A23" s="28" t="s">
        <v>12</v>
      </c>
      <c r="B23" s="17"/>
      <c r="C23" s="20"/>
      <c r="D23" s="19"/>
    </row>
    <row r="24" spans="1:9" ht="27.75" customHeight="1" x14ac:dyDescent="0.35">
      <c r="A24" s="28" t="s">
        <v>13</v>
      </c>
      <c r="B24" s="17">
        <v>75000</v>
      </c>
      <c r="C24" s="20">
        <f>(55930000*1.2%+3000)</f>
        <v>674160</v>
      </c>
      <c r="D24" s="19"/>
    </row>
    <row r="25" spans="1:9" ht="24.75" customHeight="1" x14ac:dyDescent="0.35">
      <c r="A25" s="28" t="s">
        <v>28</v>
      </c>
      <c r="B25" s="17">
        <v>15000</v>
      </c>
      <c r="C25" s="20">
        <v>5000</v>
      </c>
      <c r="D25" s="19"/>
    </row>
    <row r="26" spans="1:9" ht="28.5" customHeight="1" x14ac:dyDescent="0.35">
      <c r="A26" s="28" t="s">
        <v>32</v>
      </c>
      <c r="B26" s="17">
        <v>30000</v>
      </c>
      <c r="C26" s="20">
        <v>6000</v>
      </c>
      <c r="D26" s="19"/>
    </row>
    <row r="27" spans="1:9" ht="27.75" customHeight="1" x14ac:dyDescent="0.35">
      <c r="A27" s="28" t="s">
        <v>29</v>
      </c>
      <c r="B27" s="17">
        <f>(55930000*1%)+400000</f>
        <v>959300</v>
      </c>
      <c r="C27" s="20"/>
      <c r="D27" s="19"/>
    </row>
    <row r="28" spans="1:9" ht="30.75" customHeight="1" x14ac:dyDescent="0.35">
      <c r="A28" s="28" t="s">
        <v>23</v>
      </c>
      <c r="B28" s="17">
        <v>30000</v>
      </c>
      <c r="C28" s="20"/>
      <c r="D28" s="19"/>
    </row>
    <row r="29" spans="1:9" ht="28.5" customHeight="1" x14ac:dyDescent="0.35">
      <c r="A29" s="28" t="s">
        <v>24</v>
      </c>
      <c r="B29" s="17"/>
      <c r="C29" s="20"/>
      <c r="D29" s="19"/>
    </row>
    <row r="30" spans="1:9" ht="27" customHeight="1" x14ac:dyDescent="0.35">
      <c r="A30" s="28" t="s">
        <v>14</v>
      </c>
      <c r="B30" s="17"/>
      <c r="C30" s="20"/>
      <c r="D30" s="19"/>
    </row>
    <row r="31" spans="1:9" ht="27.75" customHeight="1" x14ac:dyDescent="0.35">
      <c r="A31" s="28" t="s">
        <v>22</v>
      </c>
      <c r="B31" s="17"/>
      <c r="C31" s="20"/>
      <c r="D31" s="19">
        <v>20000</v>
      </c>
      <c r="I31" s="31"/>
    </row>
    <row r="32" spans="1:9" ht="29.25" customHeight="1" thickBot="1" x14ac:dyDescent="0.4">
      <c r="A32" s="29" t="s">
        <v>15</v>
      </c>
      <c r="B32" s="21"/>
      <c r="C32" s="22"/>
      <c r="D32" s="23">
        <v>100000</v>
      </c>
    </row>
    <row r="33" spans="1:12" ht="27.75" customHeight="1" thickBot="1" x14ac:dyDescent="0.4">
      <c r="A33" s="24" t="s">
        <v>16</v>
      </c>
      <c r="B33" s="34">
        <f>SUM(B24:B32)</f>
        <v>1109300</v>
      </c>
      <c r="C33" s="25">
        <f>SUM(C20:C32)</f>
        <v>2952360</v>
      </c>
      <c r="D33" s="35">
        <v>120000</v>
      </c>
    </row>
    <row r="34" spans="1:12" ht="31.5" customHeight="1" thickBot="1" x14ac:dyDescent="0.4">
      <c r="A34" s="26" t="s">
        <v>17</v>
      </c>
      <c r="B34" s="33"/>
      <c r="C34" s="36">
        <f>B33+C33+D32+D31</f>
        <v>4181660</v>
      </c>
      <c r="D34" s="32"/>
    </row>
    <row r="35" spans="1:12" s="6" customFormat="1" ht="18.75" x14ac:dyDescent="0.3">
      <c r="A35" s="6" t="s">
        <v>18</v>
      </c>
    </row>
    <row r="36" spans="1:12" s="6" customFormat="1" ht="18.75" x14ac:dyDescent="0.3">
      <c r="A36" s="37" t="s">
        <v>33</v>
      </c>
      <c r="B36" s="37"/>
      <c r="C36" s="37"/>
      <c r="D36" s="37"/>
    </row>
    <row r="37" spans="1:12" ht="21" x14ac:dyDescent="0.35">
      <c r="A37" s="9"/>
      <c r="B37" s="9"/>
      <c r="C37" s="9"/>
      <c r="D37" s="9"/>
      <c r="L37" s="4"/>
    </row>
    <row r="38" spans="1:12" ht="21" x14ac:dyDescent="0.35">
      <c r="A38" s="9"/>
      <c r="B38" s="9"/>
      <c r="C38" s="30" t="s">
        <v>19</v>
      </c>
      <c r="D38" s="6"/>
      <c r="E38" s="6"/>
    </row>
    <row r="39" spans="1:12" ht="21" x14ac:dyDescent="0.35">
      <c r="A39" s="9"/>
      <c r="B39" s="9"/>
      <c r="C39" s="9"/>
      <c r="D39" s="9"/>
    </row>
    <row r="40" spans="1:12" ht="21" x14ac:dyDescent="0.35">
      <c r="A40" s="9"/>
      <c r="B40" s="9"/>
      <c r="C40" s="9"/>
      <c r="D40" s="9"/>
    </row>
    <row r="41" spans="1:12" ht="18.75" x14ac:dyDescent="0.3">
      <c r="A41" s="6" t="s">
        <v>30</v>
      </c>
      <c r="B41" s="6"/>
      <c r="C41" s="6"/>
      <c r="D41" s="6"/>
      <c r="E41" s="6"/>
    </row>
    <row r="42" spans="1:12" ht="18.75" x14ac:dyDescent="0.3">
      <c r="A42" s="3" t="s">
        <v>20</v>
      </c>
      <c r="B42" s="6"/>
      <c r="C42" s="6"/>
      <c r="D42" s="6"/>
      <c r="E42" s="6"/>
    </row>
    <row r="43" spans="1:12" ht="21" x14ac:dyDescent="0.35">
      <c r="A43" s="11"/>
      <c r="B43" s="9"/>
      <c r="C43" s="9"/>
      <c r="D43" s="9"/>
    </row>
    <row r="44" spans="1:12" x14ac:dyDescent="0.25">
      <c r="A44" s="2"/>
    </row>
    <row r="45" spans="1:12" x14ac:dyDescent="0.25">
      <c r="A45" s="2"/>
    </row>
    <row r="46" spans="1:12" x14ac:dyDescent="0.25">
      <c r="A46" s="2"/>
    </row>
  </sheetData>
  <mergeCells count="1">
    <mergeCell ref="A36:D36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BENEFICIAIRE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Clerc-02</dc:creator>
  <cp:lastModifiedBy>Office</cp:lastModifiedBy>
  <cp:lastPrinted>2026-01-21T14:24:19Z</cp:lastPrinted>
  <dcterms:created xsi:type="dcterms:W3CDTF">2022-11-24T12:16:54Z</dcterms:created>
  <dcterms:modified xsi:type="dcterms:W3CDTF">2026-08-28T16:16:15Z</dcterms:modified>
</cp:coreProperties>
</file>