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ekaren/Desktop/SAAS DIVERS/NOTAIRE/"/>
    </mc:Choice>
  </mc:AlternateContent>
  <xr:revisionPtr revIDLastSave="0" documentId="8_{2232454B-9310-9641-9CF3-7AB4A42D8C8C}" xr6:coauthVersionLast="47" xr6:coauthVersionMax="47" xr10:uidLastSave="{00000000-0000-0000-0000-000000000000}"/>
  <bookViews>
    <workbookView xWindow="0" yWindow="660" windowWidth="20740" windowHeight="11160" activeTab="3" xr2:uid="{275DACA8-9AF9-40F8-90FA-F07EF8CAD2DD}"/>
  </bookViews>
  <sheets>
    <sheet name="BASE" sheetId="3" r:id="rId1"/>
    <sheet name="FICHE DE TAXE" sheetId="2" r:id="rId2"/>
    <sheet name="NOTE DE FRAIS" sheetId="1" r:id="rId3"/>
    <sheet name="FACTURE NORMALIS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5" l="1"/>
  <c r="C6" i="5"/>
  <c r="D3" i="5"/>
  <c r="C6" i="2"/>
  <c r="D13" i="2"/>
  <c r="C5" i="3"/>
  <c r="C10" i="3" s="1"/>
  <c r="C9" i="3"/>
  <c r="C20" i="3"/>
  <c r="H18" i="2"/>
  <c r="C19" i="3"/>
  <c r="C18" i="3"/>
  <c r="C17" i="3"/>
  <c r="C15" i="3"/>
  <c r="B30" i="1" l="1"/>
  <c r="B21" i="1"/>
  <c r="D23" i="2"/>
  <c r="B27" i="1" s="1"/>
  <c r="H29" i="2"/>
  <c r="D14" i="2"/>
  <c r="B24" i="1" s="1"/>
  <c r="B36" i="1" s="1"/>
  <c r="D29" i="2"/>
  <c r="E30" i="2" l="1"/>
  <c r="E23" i="5" s="1"/>
</calcChain>
</file>

<file path=xl/sharedStrings.xml><?xml version="1.0" encoding="utf-8"?>
<sst xmlns="http://schemas.openxmlformats.org/spreadsheetml/2006/main" count="157" uniqueCount="102">
  <si>
    <t>Maître Ginette OKOUE - KODJO</t>
  </si>
  <si>
    <t>Notaire</t>
  </si>
  <si>
    <t>NATURE DE L'ACTE : Mainlevée d'hypothèque SIB…………………...…………………………………………………………..</t>
  </si>
  <si>
    <t>DATE : 29 SEPTEMBRE 2022……………………………………………………………………………………………………</t>
  </si>
  <si>
    <t>NATURE</t>
  </si>
  <si>
    <t>MONTANT</t>
  </si>
  <si>
    <t>TIMBRES FISCAUX</t>
  </si>
  <si>
    <t>ROLES</t>
  </si>
  <si>
    <t>Minute………(500x4)…………………</t>
  </si>
  <si>
    <t>Minute………(500x4)………………………</t>
  </si>
  <si>
    <t>Expédition……(500x5)2…………………</t>
  </si>
  <si>
    <t>Expédition……(500x5)3……………………………..</t>
  </si>
  <si>
    <t>Bordereau d'enregistrement…………………</t>
  </si>
  <si>
    <t>Copie…………(500x5)4…………………….</t>
  </si>
  <si>
    <t>ENREGISTREMENT</t>
  </si>
  <si>
    <t>HONORAIRES</t>
  </si>
  <si>
    <t>Droits fixes…………………………………….</t>
  </si>
  <si>
    <t>Emolument propotionnel…………………….</t>
  </si>
  <si>
    <t>Vacations……………………………………….</t>
  </si>
  <si>
    <t>TAXE FONCIERE</t>
  </si>
  <si>
    <t>HONORAIRES FORMALITES</t>
  </si>
  <si>
    <t>Droits fiches……………………………………</t>
  </si>
  <si>
    <t>Dépôt à la banque……………………………….</t>
  </si>
  <si>
    <t>Droits proportionnels 1,2%.............................</t>
  </si>
  <si>
    <t>Dépôt à l'enregistrement…………………….</t>
  </si>
  <si>
    <t>Inscription au livre foncier (Voir J.O.)………</t>
  </si>
  <si>
    <t>FORMALITES</t>
  </si>
  <si>
    <t>Réquisition d'Etat……………………………..</t>
  </si>
  <si>
    <t>DIVERS</t>
  </si>
  <si>
    <t>Frs de corresp, d'affranch, d'impress et de pap</t>
  </si>
  <si>
    <t>TOTAL</t>
  </si>
  <si>
    <t>TOTAL GENERAL</t>
  </si>
  <si>
    <t>Etude de Me Ginette OKOUE-KODJO</t>
  </si>
  <si>
    <t xml:space="preserve">           ABIDJAN, le 30 Septembre 2022</t>
  </si>
  <si>
    <t>NOTAIRE</t>
  </si>
  <si>
    <t>II Plateaux, rue des jardins, Résidence SOPIM villa N° 70</t>
  </si>
  <si>
    <t xml:space="preserve">01 B.P. 314 Abidjan 01 – COTE D’IVOIRE  </t>
  </si>
  <si>
    <t>Tel : (225)27-22-41-60-47/85 / Fax : (225) 27-22-41-60-49</t>
  </si>
  <si>
    <t xml:space="preserve">Cel : 01-03-50-09-83 </t>
  </si>
  <si>
    <t>E-mail : okoueginette@notaire.ci</t>
  </si>
  <si>
    <t>N° CC : 8605593 C</t>
  </si>
  <si>
    <r>
      <t xml:space="preserve">NOTE DE FRAIS PREVISIONNELLE N° </t>
    </r>
    <r>
      <rPr>
        <b/>
        <sz val="12"/>
        <color theme="1"/>
        <rFont val="Times New Roman"/>
        <family val="1"/>
      </rPr>
      <t>16/09/22</t>
    </r>
  </si>
  <si>
    <r>
      <t>Identité du client</t>
    </r>
    <r>
      <rPr>
        <sz val="12"/>
        <color theme="1"/>
        <rFont val="Times New Roman"/>
        <family val="1"/>
      </rPr>
      <t> : SCI LES HIBISCUS</t>
    </r>
  </si>
  <si>
    <r>
      <t xml:space="preserve">Affaire </t>
    </r>
    <r>
      <rPr>
        <sz val="12"/>
        <color theme="1"/>
        <rFont val="Times New Roman"/>
        <family val="1"/>
      </rPr>
      <t xml:space="preserve">              : Mainlevée d’hypothèque SIB</t>
    </r>
  </si>
  <si>
    <r>
      <t>Numéro de dossier</t>
    </r>
    <r>
      <rPr>
        <sz val="12"/>
        <color theme="1"/>
        <rFont val="Times New Roman"/>
        <family val="1"/>
      </rPr>
      <t> : 1506</t>
    </r>
  </si>
  <si>
    <r>
      <t>Base de calcul</t>
    </r>
    <r>
      <rPr>
        <sz val="12"/>
        <color theme="1"/>
        <rFont val="Times New Roman"/>
        <family val="1"/>
      </rPr>
      <t xml:space="preserve"> : 158 200 000 FRANCS/CFA</t>
    </r>
  </si>
  <si>
    <t>Droits</t>
  </si>
  <si>
    <t>Montant</t>
  </si>
  <si>
    <t>Débours</t>
  </si>
  <si>
    <t>Honoraires</t>
  </si>
  <si>
    <t xml:space="preserve">Enregistrement </t>
  </si>
  <si>
    <t>-</t>
  </si>
  <si>
    <t>Rôles</t>
  </si>
  <si>
    <t xml:space="preserve">Timbres </t>
  </si>
  <si>
    <t>Taxe foncière</t>
  </si>
  <si>
    <t>Réquisition</t>
  </si>
  <si>
    <t>Emol. Formalités</t>
  </si>
  <si>
    <t>Divers</t>
  </si>
  <si>
    <t>Total des Droits</t>
  </si>
  <si>
    <t>Total des Débours</t>
  </si>
  <si>
    <t>Total des Honoraires</t>
  </si>
  <si>
    <t>1 020 000</t>
  </si>
  <si>
    <t>TOTAL GENERAL : 2 952 900</t>
  </si>
  <si>
    <t>Arrêté la présente note de frais à la somme de DEUX MILLIONS NEUF CENT CINQUANTE DEUX MILLE NEUF CENTS FRANCS/CFA.</t>
  </si>
  <si>
    <t>Me Ginette OKOUE KODJO</t>
  </si>
  <si>
    <t xml:space="preserve">BASE DE CALCUL DE L'ACTE : </t>
  </si>
  <si>
    <t xml:space="preserve">NATURE </t>
  </si>
  <si>
    <t>NATURE DE L'ACTE :</t>
  </si>
  <si>
    <t xml:space="preserve">DATE : </t>
  </si>
  <si>
    <t>INTITULEE</t>
  </si>
  <si>
    <t>NOMINATIF</t>
  </si>
  <si>
    <t>Grosse</t>
  </si>
  <si>
    <t>Droits fixe……………………………………</t>
  </si>
  <si>
    <t>BASE DE CALCUL</t>
  </si>
  <si>
    <t>Nombre de page</t>
  </si>
  <si>
    <t>Nombre de page de l'expédition</t>
  </si>
  <si>
    <t>Nombre d'expédition</t>
  </si>
  <si>
    <t>Droits fixes Enregistrement</t>
  </si>
  <si>
    <t xml:space="preserve">DESIGNATION : </t>
  </si>
  <si>
    <t>SCI LES HIBISCUS</t>
  </si>
  <si>
    <t xml:space="preserve"> Mainlevée d'hypothèque SIB</t>
  </si>
  <si>
    <t>DESIGNATION :</t>
  </si>
  <si>
    <t xml:space="preserve">           </t>
  </si>
  <si>
    <t xml:space="preserve">       </t>
  </si>
  <si>
    <t>POSTES</t>
  </si>
  <si>
    <t>DROITS/ETAT</t>
  </si>
  <si>
    <t>FRAIS</t>
  </si>
  <si>
    <t xml:space="preserve">Enregistrement    </t>
  </si>
  <si>
    <t>Timbres</t>
  </si>
  <si>
    <t>1 904 825</t>
  </si>
  <si>
    <t>10 000</t>
  </si>
  <si>
    <t xml:space="preserve">Honoraires </t>
  </si>
  <si>
    <t>2 306 350</t>
  </si>
  <si>
    <t>TVA 18% /Honoraires</t>
  </si>
  <si>
    <t>TOTAUX</t>
  </si>
  <si>
    <t>2 378 468</t>
  </si>
  <si>
    <r>
      <t>TOTAL GENERAL</t>
    </r>
    <r>
      <rPr>
        <b/>
        <sz val="11.5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: 4 684 818</t>
    </r>
  </si>
  <si>
    <r>
      <t>Identité du client</t>
    </r>
    <r>
      <rPr>
        <sz val="12"/>
        <color theme="1"/>
        <rFont val="Times New Roman"/>
        <family val="1"/>
      </rPr>
      <t xml:space="preserve"> : </t>
    </r>
  </si>
  <si>
    <r>
      <t>Nature de l’acte</t>
    </r>
    <r>
      <rPr>
        <sz val="12"/>
        <color theme="1"/>
        <rFont val="Times New Roman"/>
        <family val="1"/>
      </rPr>
      <t xml:space="preserve"> : </t>
    </r>
    <r>
      <rPr>
        <sz val="8"/>
        <color theme="1"/>
        <rFont val="Times New Roman"/>
        <family val="1"/>
      </rPr>
      <t xml:space="preserve">          </t>
    </r>
  </si>
  <si>
    <r>
      <t>Numéro dossier</t>
    </r>
    <r>
      <rPr>
        <sz val="12"/>
        <color theme="1"/>
        <rFont val="Times New Roman"/>
        <family val="1"/>
      </rPr>
      <t xml:space="preserve"> : </t>
    </r>
  </si>
  <si>
    <t>Arrêté la présente facture à la somme de</t>
  </si>
  <si>
    <t xml:space="preserve"> QUATRE MILLIONS SIX CENT QUATRE VINGT QUATRE MILLE HUIT CENT DIX HUIT FRANCS/CFA.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</si>
</sst>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(* #,##0.00_);_(* \(#,##0.00\);_(* &quot;-&quot;??_);_(@_)"/>
    <numFmt numFmtId="166" formatCode="_-* #,##0\ _€_-;\-* #,##0\ _€_-;_-* &quot;-&quot;??\ _€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Monotype Corsiva"/>
      <family val="4"/>
    </font>
    <font>
      <b/>
      <u/>
      <sz val="24"/>
      <color theme="1"/>
      <name val="Monotype Corsiva"/>
      <family val="4"/>
    </font>
    <font>
      <b/>
      <sz val="16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u val="singleAccounting"/>
      <sz val="11"/>
      <color theme="1"/>
      <name val="Arial Narrow"/>
      <family val="2"/>
    </font>
    <font>
      <u/>
      <sz val="11"/>
      <color theme="1"/>
      <name val="Arial Narrow"/>
      <family val="2"/>
    </font>
    <font>
      <b/>
      <sz val="18"/>
      <color theme="1"/>
      <name val="Arial Narrow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1.5"/>
      <color theme="1"/>
      <name val="Times New Roman"/>
      <family val="1"/>
    </font>
    <font>
      <u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u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122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166" fontId="8" fillId="0" borderId="12" xfId="1" applyNumberFormat="1" applyFont="1" applyBorder="1" applyAlignment="1">
      <alignment vertical="center"/>
    </xf>
    <xf numFmtId="166" fontId="8" fillId="0" borderId="15" xfId="1" applyNumberFormat="1" applyFont="1" applyBorder="1" applyAlignment="1">
      <alignment vertical="center"/>
    </xf>
    <xf numFmtId="166" fontId="9" fillId="0" borderId="12" xfId="1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166" fontId="6" fillId="0" borderId="15" xfId="1" applyNumberFormat="1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166" fontId="6" fillId="2" borderId="19" xfId="1" applyNumberFormat="1" applyFont="1" applyFill="1" applyBorder="1"/>
    <xf numFmtId="166" fontId="6" fillId="2" borderId="21" xfId="1" applyNumberFormat="1" applyFont="1" applyFill="1" applyBorder="1"/>
    <xf numFmtId="0" fontId="7" fillId="2" borderId="23" xfId="0" applyFont="1" applyFill="1" applyBorder="1" applyAlignment="1">
      <alignment vertical="center"/>
    </xf>
    <xf numFmtId="0" fontId="7" fillId="2" borderId="26" xfId="0" applyFont="1" applyFill="1" applyBorder="1" applyAlignment="1">
      <alignment vertical="center"/>
    </xf>
    <xf numFmtId="0" fontId="11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8" fillId="0" borderId="0" xfId="2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justify" vertical="center"/>
    </xf>
    <xf numFmtId="0" fontId="15" fillId="0" borderId="0" xfId="0" applyFont="1" applyAlignment="1">
      <alignment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2" fillId="0" borderId="12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11" xfId="0" applyFont="1" applyBorder="1" applyAlignment="1">
      <alignment horizontal="center" vertical="center" wrapText="1"/>
    </xf>
    <xf numFmtId="3" fontId="12" fillId="0" borderId="11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vertical="top" wrapText="1"/>
    </xf>
    <xf numFmtId="0" fontId="12" fillId="0" borderId="8" xfId="0" applyFont="1" applyBorder="1" applyAlignment="1">
      <alignment horizontal="center" vertical="center" wrapText="1"/>
    </xf>
    <xf numFmtId="0" fontId="12" fillId="0" borderId="11" xfId="0" applyFont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12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3" fontId="12" fillId="0" borderId="8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1" fillId="0" borderId="8" xfId="0" applyFont="1" applyBorder="1" applyAlignment="1">
      <alignment horizontal="center" vertical="center" wrapText="1"/>
    </xf>
    <xf numFmtId="164" fontId="7" fillId="0" borderId="0" xfId="3" applyFont="1" applyAlignment="1">
      <alignment vertical="center"/>
    </xf>
    <xf numFmtId="0" fontId="19" fillId="0" borderId="31" xfId="0" applyFon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164" fontId="0" fillId="0" borderId="0" xfId="3" applyFont="1"/>
    <xf numFmtId="164" fontId="0" fillId="0" borderId="34" xfId="3" applyFont="1" applyBorder="1"/>
    <xf numFmtId="164" fontId="0" fillId="0" borderId="36" xfId="3" applyFont="1" applyBorder="1"/>
    <xf numFmtId="0" fontId="0" fillId="0" borderId="37" xfId="0" applyBorder="1"/>
    <xf numFmtId="164" fontId="0" fillId="0" borderId="38" xfId="3" applyFont="1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15" fontId="0" fillId="0" borderId="36" xfId="0" applyNumberFormat="1" applyBorder="1"/>
    <xf numFmtId="0" fontId="12" fillId="0" borderId="0" xfId="0" applyFont="1" applyAlignment="1">
      <alignment horizontal="left" vertical="center" indent="15"/>
    </xf>
    <xf numFmtId="0" fontId="12" fillId="0" borderId="0" xfId="0" applyFont="1" applyAlignment="1">
      <alignment horizontal="left" vertical="center" indent="10"/>
    </xf>
    <xf numFmtId="0" fontId="11" fillId="0" borderId="5" xfId="0" applyFont="1" applyBorder="1" applyAlignment="1">
      <alignment horizontal="center" vertical="center" wrapText="1"/>
    </xf>
    <xf numFmtId="0" fontId="20" fillId="0" borderId="12" xfId="0" applyFont="1" applyBorder="1" applyAlignment="1">
      <alignment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0" fillId="0" borderId="0" xfId="0" applyAlignment="1">
      <alignment horizontal="center"/>
    </xf>
    <xf numFmtId="15" fontId="0" fillId="0" borderId="0" xfId="0" applyNumberFormat="1"/>
    <xf numFmtId="0" fontId="21" fillId="0" borderId="0" xfId="0" applyFont="1"/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166" fontId="10" fillId="2" borderId="25" xfId="0" applyNumberFormat="1" applyFont="1" applyFill="1" applyBorder="1" applyAlignment="1">
      <alignment horizontal="center" vertical="center"/>
    </xf>
    <xf numFmtId="166" fontId="10" fillId="2" borderId="23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</cellXfs>
  <cellStyles count="4">
    <cellStyle name="Lien hypertexte" xfId="2" builtinId="8"/>
    <cellStyle name="Milliers [0]" xfId="3" builtinId="6"/>
    <cellStyle name="Milliers 2" xfId="1" xr:uid="{13D1D189-16B5-445C-8555-64E0D848E281}"/>
    <cellStyle name="Normal" xfId="0" builtinId="0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2</xdr:row>
      <xdr:rowOff>28575</xdr:rowOff>
    </xdr:from>
    <xdr:to>
      <xdr:col>5</xdr:col>
      <xdr:colOff>518160</xdr:colOff>
      <xdr:row>5</xdr:row>
      <xdr:rowOff>13335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3142291-6846-4C33-BE4F-5C98ADB70752}"/>
            </a:ext>
          </a:extLst>
        </xdr:cNvPr>
        <xdr:cNvSpPr/>
      </xdr:nvSpPr>
      <xdr:spPr>
        <a:xfrm>
          <a:off x="1668780" y="828675"/>
          <a:ext cx="2430780" cy="842010"/>
        </a:xfrm>
        <a:prstGeom prst="roundRect">
          <a:avLst>
            <a:gd name="adj" fmla="val 48374"/>
          </a:avLst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fr-FR" sz="1600" b="1" i="0" u="none" strike="noStrike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+mn-lt"/>
              <a:ea typeface="+mn-ea"/>
              <a:cs typeface="+mn-cs"/>
            </a:rPr>
            <a:t>FICHE DE TAXE PREVISIONNELLE</a:t>
          </a:r>
          <a:r>
            <a:rPr lang="fr-FR" sz="16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059133-47D8-404E-AEDC-216D8902BCA3}" name="Tableau1" displayName="Tableau1" ref="B8:C26" totalsRowShown="0" headerRowDxfId="11" headerRowBorderDxfId="10" tableBorderDxfId="9" totalsRowBorderDxfId="8">
  <autoFilter ref="B8:C26" xr:uid="{77059133-47D8-404E-AEDC-216D8902BCA3}"/>
  <tableColumns count="2">
    <tableColumn id="1" xr3:uid="{15547452-F10A-4955-8C5C-EC8222812441}" name="NATURE " dataDxfId="7"/>
    <tableColumn id="2" xr3:uid="{BAE0FFDE-EFF7-4718-B240-5BDAC050CD34}" name="MONTANT" dataDxfId="6" dataCellStyle="Milliers [0]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A634EC-B0AF-4139-A02C-CF792AF13B26}" name="Tableau2" displayName="Tableau2" ref="E8:F11" totalsRowShown="0" headerRowDxfId="5" headerRowBorderDxfId="4" tableBorderDxfId="3" totalsRowBorderDxfId="2">
  <autoFilter ref="E8:F11" xr:uid="{68A634EC-B0AF-4139-A02C-CF792AF13B26}"/>
  <tableColumns count="2">
    <tableColumn id="1" xr3:uid="{4E6F7473-A196-4B59-B4A7-01DA0AE6C1F2}" name="INTITULEE" dataDxfId="1"/>
    <tableColumn id="2" xr3:uid="{F67DC1E8-5270-4C6C-8472-B2AD1E8A827A}" name="NOMINATI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okoueginette@notaire.ci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8402-EFF6-44CF-A1FB-7F0344A6C2B1}">
  <dimension ref="B1:F26"/>
  <sheetViews>
    <sheetView topLeftCell="A7" workbookViewId="0">
      <selection activeCell="F10" sqref="F10"/>
    </sheetView>
  </sheetViews>
  <sheetFormatPr baseColWidth="10" defaultRowHeight="15" x14ac:dyDescent="0.2"/>
  <cols>
    <col min="2" max="2" width="43.6640625" customWidth="1"/>
    <col min="3" max="3" width="23.5" bestFit="1" customWidth="1"/>
    <col min="4" max="4" width="17.1640625" bestFit="1" customWidth="1"/>
    <col min="5" max="5" width="37.1640625" customWidth="1"/>
    <col min="6" max="6" width="27.5" customWidth="1"/>
    <col min="9" max="9" width="29" bestFit="1" customWidth="1"/>
  </cols>
  <sheetData>
    <row r="1" spans="2:6" ht="16" thickBot="1" x14ac:dyDescent="0.25"/>
    <row r="2" spans="2:6" ht="16" thickBot="1" x14ac:dyDescent="0.25">
      <c r="B2" s="53" t="s">
        <v>73</v>
      </c>
      <c r="C2" s="54">
        <v>158200000</v>
      </c>
    </row>
    <row r="3" spans="2:6" ht="16" thickBot="1" x14ac:dyDescent="0.25">
      <c r="C3" s="50"/>
    </row>
    <row r="4" spans="2:6" x14ac:dyDescent="0.2">
      <c r="B4" s="55" t="s">
        <v>74</v>
      </c>
      <c r="C4" s="56">
        <v>4</v>
      </c>
    </row>
    <row r="5" spans="2:6" x14ac:dyDescent="0.2">
      <c r="B5" s="57" t="s">
        <v>75</v>
      </c>
      <c r="C5" s="58">
        <f>C4+1</f>
        <v>5</v>
      </c>
    </row>
    <row r="6" spans="2:6" ht="16" thickBot="1" x14ac:dyDescent="0.25">
      <c r="B6" s="59" t="s">
        <v>76</v>
      </c>
      <c r="C6" s="60">
        <v>2</v>
      </c>
    </row>
    <row r="8" spans="2:6" x14ac:dyDescent="0.2">
      <c r="B8" s="45" t="s">
        <v>66</v>
      </c>
      <c r="C8" s="46" t="s">
        <v>5</v>
      </c>
      <c r="E8" s="45" t="s">
        <v>69</v>
      </c>
      <c r="F8" s="46" t="s">
        <v>70</v>
      </c>
    </row>
    <row r="9" spans="2:6" x14ac:dyDescent="0.2">
      <c r="B9" s="47" t="s">
        <v>8</v>
      </c>
      <c r="C9" s="51">
        <f>500*C4</f>
        <v>2000</v>
      </c>
      <c r="E9" s="47" t="s">
        <v>78</v>
      </c>
      <c r="F9" s="48" t="s">
        <v>79</v>
      </c>
    </row>
    <row r="10" spans="2:6" x14ac:dyDescent="0.2">
      <c r="B10" s="47" t="s">
        <v>10</v>
      </c>
      <c r="C10" s="51">
        <f>(500*C5)*C6</f>
        <v>5000</v>
      </c>
      <c r="E10" s="47" t="s">
        <v>67</v>
      </c>
      <c r="F10" s="48" t="s">
        <v>80</v>
      </c>
    </row>
    <row r="11" spans="2:6" x14ac:dyDescent="0.2">
      <c r="B11" s="47" t="s">
        <v>12</v>
      </c>
      <c r="C11" s="51">
        <v>500</v>
      </c>
      <c r="E11" s="49" t="s">
        <v>68</v>
      </c>
      <c r="F11" s="61">
        <v>44833</v>
      </c>
    </row>
    <row r="12" spans="2:6" x14ac:dyDescent="0.2">
      <c r="B12" s="47" t="s">
        <v>71</v>
      </c>
      <c r="C12" s="51"/>
    </row>
    <row r="13" spans="2:6" x14ac:dyDescent="0.2">
      <c r="B13" s="47" t="s">
        <v>77</v>
      </c>
      <c r="C13" s="51">
        <v>18000</v>
      </c>
    </row>
    <row r="14" spans="2:6" x14ac:dyDescent="0.2">
      <c r="B14" s="47" t="s">
        <v>72</v>
      </c>
      <c r="C14" s="51">
        <v>3000</v>
      </c>
    </row>
    <row r="15" spans="2:6" x14ac:dyDescent="0.2">
      <c r="B15" s="47" t="s">
        <v>23</v>
      </c>
      <c r="C15" s="51">
        <f>C2*1.2%</f>
        <v>1898400</v>
      </c>
    </row>
    <row r="16" spans="2:6" x14ac:dyDescent="0.2">
      <c r="B16" s="47" t="s">
        <v>27</v>
      </c>
      <c r="C16" s="51">
        <v>10000</v>
      </c>
    </row>
    <row r="17" spans="2:3" x14ac:dyDescent="0.2">
      <c r="B17" s="47" t="s">
        <v>9</v>
      </c>
      <c r="C17" s="51">
        <f>500*4</f>
        <v>2000</v>
      </c>
    </row>
    <row r="18" spans="2:3" x14ac:dyDescent="0.2">
      <c r="B18" s="47" t="s">
        <v>11</v>
      </c>
      <c r="C18" s="51">
        <f>(500*5)*3</f>
        <v>7500</v>
      </c>
    </row>
    <row r="19" spans="2:3" x14ac:dyDescent="0.2">
      <c r="B19" s="47" t="s">
        <v>13</v>
      </c>
      <c r="C19" s="51">
        <f>(500*5)*4</f>
        <v>10000</v>
      </c>
    </row>
    <row r="20" spans="2:3" x14ac:dyDescent="0.2">
      <c r="B20" s="47" t="s">
        <v>17</v>
      </c>
      <c r="C20" s="51">
        <f>IF(C2&lt;=10000000,C2*1%,IF(C2&lt;=30000000,C2*0.75%+25000,IF(C2&lt;=90000000,C2*0.5%+100000,IF(C2&gt;90000000,C2*0.25%+325000))))</f>
        <v>720500</v>
      </c>
    </row>
    <row r="21" spans="2:3" x14ac:dyDescent="0.2">
      <c r="B21" s="47" t="s">
        <v>18</v>
      </c>
      <c r="C21" s="51"/>
    </row>
    <row r="22" spans="2:3" x14ac:dyDescent="0.2">
      <c r="B22" s="47" t="s">
        <v>22</v>
      </c>
      <c r="C22" s="51"/>
    </row>
    <row r="23" spans="2:3" x14ac:dyDescent="0.2">
      <c r="B23" s="47" t="s">
        <v>24</v>
      </c>
      <c r="C23" s="51"/>
    </row>
    <row r="24" spans="2:3" x14ac:dyDescent="0.2">
      <c r="B24" s="47" t="s">
        <v>25</v>
      </c>
      <c r="C24" s="51"/>
    </row>
    <row r="25" spans="2:3" x14ac:dyDescent="0.2">
      <c r="B25" s="47" t="s">
        <v>27</v>
      </c>
      <c r="C25" s="51"/>
    </row>
    <row r="26" spans="2:3" x14ac:dyDescent="0.2">
      <c r="B26" s="49" t="s">
        <v>29</v>
      </c>
      <c r="C26" s="52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E952-807F-4DB8-B581-F01542041F7F}">
  <dimension ref="A1:H31"/>
  <sheetViews>
    <sheetView view="pageBreakPreview" topLeftCell="A13" zoomScaleNormal="100" zoomScaleSheetLayoutView="100" workbookViewId="0">
      <selection activeCell="E30" sqref="E30:F30"/>
    </sheetView>
  </sheetViews>
  <sheetFormatPr baseColWidth="10" defaultRowHeight="15" x14ac:dyDescent="0.2"/>
  <cols>
    <col min="3" max="3" width="7.6640625" customWidth="1"/>
    <col min="4" max="4" width="11.6640625" customWidth="1"/>
    <col min="7" max="7" width="10.33203125" customWidth="1"/>
    <col min="8" max="8" width="12.6640625" customWidth="1"/>
  </cols>
  <sheetData>
    <row r="1" spans="1:8" ht="32" x14ac:dyDescent="0.4">
      <c r="A1" s="1"/>
      <c r="B1" s="112" t="s">
        <v>0</v>
      </c>
      <c r="C1" s="112"/>
      <c r="D1" s="112"/>
      <c r="E1" s="112"/>
      <c r="F1" s="112"/>
      <c r="G1" s="112"/>
      <c r="H1" s="1"/>
    </row>
    <row r="2" spans="1:8" ht="32" x14ac:dyDescent="0.4">
      <c r="A2" s="113"/>
      <c r="B2" s="113"/>
      <c r="C2" s="113"/>
      <c r="D2" s="114" t="s">
        <v>1</v>
      </c>
      <c r="E2" s="114"/>
      <c r="F2" s="113"/>
      <c r="G2" s="113"/>
      <c r="H2" s="113"/>
    </row>
    <row r="4" spans="1:8" ht="30.5" customHeight="1" x14ac:dyDescent="0.2">
      <c r="A4" s="2"/>
      <c r="B4" s="2"/>
      <c r="C4" s="2"/>
      <c r="D4" s="2"/>
      <c r="E4" s="2"/>
      <c r="F4" s="2"/>
      <c r="G4" s="2"/>
      <c r="H4" s="2"/>
    </row>
    <row r="5" spans="1:8" ht="23" customHeight="1" x14ac:dyDescent="0.2">
      <c r="A5" s="115"/>
      <c r="B5" s="115"/>
      <c r="C5" s="115"/>
      <c r="D5" s="115"/>
      <c r="E5" s="115"/>
      <c r="F5" s="115"/>
      <c r="G5" s="115"/>
      <c r="H5" s="115"/>
    </row>
    <row r="6" spans="1:8" ht="22.25" customHeight="1" x14ac:dyDescent="0.2">
      <c r="A6" s="97" t="s">
        <v>81</v>
      </c>
      <c r="B6" s="97"/>
      <c r="C6" s="42" t="str">
        <f>BASE!F9</f>
        <v>SCI LES HIBISCUS</v>
      </c>
      <c r="D6" s="42"/>
      <c r="E6" s="42"/>
      <c r="F6" s="42"/>
      <c r="G6" s="42"/>
      <c r="H6" s="42"/>
    </row>
    <row r="7" spans="1:8" ht="22.25" customHeight="1" x14ac:dyDescent="0.2">
      <c r="A7" s="104" t="s">
        <v>2</v>
      </c>
      <c r="B7" s="104"/>
      <c r="C7" s="104"/>
      <c r="D7" s="104"/>
      <c r="E7" s="104"/>
      <c r="F7" s="104"/>
      <c r="G7" s="104"/>
      <c r="H7" s="104"/>
    </row>
    <row r="8" spans="1:8" ht="21.5" customHeight="1" x14ac:dyDescent="0.2">
      <c r="A8" s="104" t="s">
        <v>3</v>
      </c>
      <c r="B8" s="104"/>
      <c r="C8" s="104"/>
      <c r="D8" s="104"/>
      <c r="E8" s="104"/>
      <c r="F8" s="104"/>
      <c r="G8" s="104"/>
      <c r="H8" s="104"/>
    </row>
    <row r="9" spans="1:8" ht="21.5" customHeight="1" x14ac:dyDescent="0.2">
      <c r="A9" s="97" t="s">
        <v>65</v>
      </c>
      <c r="B9" s="97"/>
      <c r="C9" s="97"/>
      <c r="D9" s="44">
        <v>30000000</v>
      </c>
      <c r="E9" s="42"/>
      <c r="F9" s="42"/>
      <c r="G9" s="42"/>
      <c r="H9" s="42"/>
    </row>
    <row r="10" spans="1:8" ht="15" customHeight="1" thickBot="1" x14ac:dyDescent="0.25">
      <c r="A10" s="105"/>
      <c r="B10" s="105"/>
      <c r="C10" s="105"/>
      <c r="D10" s="105"/>
      <c r="E10" s="105"/>
      <c r="F10" s="105"/>
      <c r="G10" s="105"/>
      <c r="H10" s="105"/>
    </row>
    <row r="11" spans="1:8" ht="23.5" customHeight="1" thickTop="1" thickBot="1" x14ac:dyDescent="0.25">
      <c r="A11" s="106" t="s">
        <v>4</v>
      </c>
      <c r="B11" s="107"/>
      <c r="C11" s="108"/>
      <c r="D11" s="3" t="s">
        <v>5</v>
      </c>
      <c r="E11" s="109" t="s">
        <v>4</v>
      </c>
      <c r="F11" s="110"/>
      <c r="G11" s="111"/>
      <c r="H11" s="4" t="s">
        <v>5</v>
      </c>
    </row>
    <row r="12" spans="1:8" x14ac:dyDescent="0.2">
      <c r="A12" s="93" t="s">
        <v>6</v>
      </c>
      <c r="B12" s="94"/>
      <c r="C12" s="95"/>
      <c r="D12" s="5"/>
      <c r="E12" s="99" t="s">
        <v>7</v>
      </c>
      <c r="F12" s="94"/>
      <c r="G12" s="95"/>
      <c r="H12" s="6"/>
    </row>
    <row r="13" spans="1:8" ht="20.5" customHeight="1" x14ac:dyDescent="0.2">
      <c r="A13" s="80" t="s">
        <v>8</v>
      </c>
      <c r="B13" s="81"/>
      <c r="C13" s="82"/>
      <c r="D13" s="7">
        <f>BASE!C9</f>
        <v>2000</v>
      </c>
      <c r="E13" s="83" t="s">
        <v>9</v>
      </c>
      <c r="F13" s="81"/>
      <c r="G13" s="82"/>
      <c r="H13" s="8">
        <v>2000</v>
      </c>
    </row>
    <row r="14" spans="1:8" ht="19.25" customHeight="1" x14ac:dyDescent="0.2">
      <c r="A14" s="80" t="s">
        <v>10</v>
      </c>
      <c r="B14" s="81"/>
      <c r="C14" s="82"/>
      <c r="D14" s="7">
        <f>+(500*5)*2</f>
        <v>5000</v>
      </c>
      <c r="E14" s="83" t="s">
        <v>11</v>
      </c>
      <c r="F14" s="81"/>
      <c r="G14" s="82"/>
      <c r="H14" s="8">
        <v>7500</v>
      </c>
    </row>
    <row r="15" spans="1:8" ht="20" customHeight="1" x14ac:dyDescent="0.2">
      <c r="A15" s="80" t="s">
        <v>12</v>
      </c>
      <c r="B15" s="81"/>
      <c r="C15" s="82"/>
      <c r="D15" s="7">
        <v>500</v>
      </c>
      <c r="E15" s="83" t="s">
        <v>13</v>
      </c>
      <c r="F15" s="81"/>
      <c r="G15" s="82"/>
      <c r="H15" s="8">
        <v>10000</v>
      </c>
    </row>
    <row r="16" spans="1:8" x14ac:dyDescent="0.2">
      <c r="A16" s="100"/>
      <c r="B16" s="101"/>
      <c r="C16" s="102"/>
      <c r="D16" s="9"/>
      <c r="E16" s="10"/>
      <c r="F16" s="10"/>
      <c r="G16" s="10"/>
      <c r="H16" s="11"/>
    </row>
    <row r="17" spans="1:8" ht="18" customHeight="1" x14ac:dyDescent="0.2">
      <c r="A17" s="93" t="s">
        <v>14</v>
      </c>
      <c r="B17" s="94"/>
      <c r="C17" s="95"/>
      <c r="D17" s="9"/>
      <c r="E17" s="99" t="s">
        <v>15</v>
      </c>
      <c r="F17" s="94"/>
      <c r="G17" s="95"/>
      <c r="H17" s="11"/>
    </row>
    <row r="18" spans="1:8" ht="18.5" customHeight="1" x14ac:dyDescent="0.2">
      <c r="A18" s="80" t="s">
        <v>16</v>
      </c>
      <c r="B18" s="81"/>
      <c r="C18" s="82"/>
      <c r="D18" s="9">
        <v>18000</v>
      </c>
      <c r="E18" s="83" t="s">
        <v>17</v>
      </c>
      <c r="F18" s="81"/>
      <c r="G18" s="82"/>
      <c r="H18" s="8">
        <f>158200000*0.25%+325000</f>
        <v>720500</v>
      </c>
    </row>
    <row r="19" spans="1:8" ht="18.5" customHeight="1" x14ac:dyDescent="0.2">
      <c r="A19" s="80"/>
      <c r="B19" s="81"/>
      <c r="C19" s="82"/>
      <c r="D19" s="9"/>
      <c r="E19" s="83" t="s">
        <v>18</v>
      </c>
      <c r="F19" s="81"/>
      <c r="G19" s="82"/>
      <c r="H19" s="8">
        <v>150000</v>
      </c>
    </row>
    <row r="20" spans="1:8" ht="17" x14ac:dyDescent="0.2">
      <c r="A20" s="100"/>
      <c r="B20" s="101"/>
      <c r="C20" s="102"/>
      <c r="D20" s="9"/>
      <c r="E20" s="103"/>
      <c r="F20" s="101"/>
      <c r="G20" s="102"/>
      <c r="H20" s="8"/>
    </row>
    <row r="21" spans="1:8" x14ac:dyDescent="0.2">
      <c r="A21" s="93" t="s">
        <v>19</v>
      </c>
      <c r="B21" s="94"/>
      <c r="C21" s="95"/>
      <c r="D21" s="9"/>
      <c r="E21" s="99" t="s">
        <v>20</v>
      </c>
      <c r="F21" s="94"/>
      <c r="G21" s="95"/>
      <c r="H21" s="12"/>
    </row>
    <row r="22" spans="1:8" ht="18.5" customHeight="1" x14ac:dyDescent="0.2">
      <c r="A22" s="80" t="s">
        <v>21</v>
      </c>
      <c r="B22" s="81"/>
      <c r="C22" s="82"/>
      <c r="D22" s="9">
        <v>3000</v>
      </c>
      <c r="E22" s="83" t="s">
        <v>22</v>
      </c>
      <c r="F22" s="81"/>
      <c r="G22" s="82"/>
      <c r="H22" s="8">
        <v>15000</v>
      </c>
    </row>
    <row r="23" spans="1:8" ht="19.25" customHeight="1" x14ac:dyDescent="0.2">
      <c r="A23" s="80" t="s">
        <v>23</v>
      </c>
      <c r="B23" s="81"/>
      <c r="C23" s="82"/>
      <c r="D23" s="9">
        <f>158200000*1.2%</f>
        <v>1898400</v>
      </c>
      <c r="E23" s="83" t="s">
        <v>24</v>
      </c>
      <c r="F23" s="81"/>
      <c r="G23" s="82"/>
      <c r="H23" s="8">
        <v>15000</v>
      </c>
    </row>
    <row r="24" spans="1:8" ht="17.5" customHeight="1" x14ac:dyDescent="0.2">
      <c r="A24" s="100"/>
      <c r="B24" s="101"/>
      <c r="C24" s="102"/>
      <c r="D24" s="9"/>
      <c r="E24" s="83" t="s">
        <v>25</v>
      </c>
      <c r="F24" s="81"/>
      <c r="G24" s="82"/>
      <c r="H24" s="8">
        <v>75000</v>
      </c>
    </row>
    <row r="25" spans="1:8" ht="19.25" customHeight="1" x14ac:dyDescent="0.2">
      <c r="A25" s="93" t="s">
        <v>26</v>
      </c>
      <c r="B25" s="94"/>
      <c r="C25" s="95"/>
      <c r="D25" s="9"/>
      <c r="E25" s="83" t="s">
        <v>27</v>
      </c>
      <c r="F25" s="81"/>
      <c r="G25" s="82"/>
      <c r="H25" s="8">
        <v>5000</v>
      </c>
    </row>
    <row r="26" spans="1:8" ht="20" customHeight="1" x14ac:dyDescent="0.2">
      <c r="A26" s="80" t="s">
        <v>27</v>
      </c>
      <c r="B26" s="81"/>
      <c r="C26" s="82"/>
      <c r="D26" s="9">
        <v>6000</v>
      </c>
      <c r="E26" s="83"/>
      <c r="F26" s="81"/>
      <c r="G26" s="82"/>
      <c r="H26" s="8"/>
    </row>
    <row r="27" spans="1:8" ht="18.5" customHeight="1" x14ac:dyDescent="0.2">
      <c r="A27" s="96"/>
      <c r="B27" s="97"/>
      <c r="C27" s="98"/>
      <c r="D27" s="9"/>
      <c r="E27" s="99" t="s">
        <v>28</v>
      </c>
      <c r="F27" s="94"/>
      <c r="G27" s="95"/>
      <c r="H27" s="11"/>
    </row>
    <row r="28" spans="1:8" ht="19.25" customHeight="1" thickBot="1" x14ac:dyDescent="0.25">
      <c r="A28" s="80"/>
      <c r="B28" s="81"/>
      <c r="C28" s="82"/>
      <c r="D28" s="9"/>
      <c r="E28" s="83" t="s">
        <v>29</v>
      </c>
      <c r="F28" s="81"/>
      <c r="G28" s="82"/>
      <c r="H28" s="8">
        <v>20000</v>
      </c>
    </row>
    <row r="29" spans="1:8" ht="16" thickBot="1" x14ac:dyDescent="0.25">
      <c r="A29" s="84" t="s">
        <v>30</v>
      </c>
      <c r="B29" s="85"/>
      <c r="C29" s="86"/>
      <c r="D29" s="13">
        <f>SUM(D13:D28)</f>
        <v>1932900</v>
      </c>
      <c r="E29" s="87" t="s">
        <v>30</v>
      </c>
      <c r="F29" s="85"/>
      <c r="G29" s="86"/>
      <c r="H29" s="14">
        <f>SUM(H13:H28)</f>
        <v>1020000</v>
      </c>
    </row>
    <row r="30" spans="1:8" ht="21" customHeight="1" thickBot="1" x14ac:dyDescent="0.25">
      <c r="A30" s="88" t="s">
        <v>31</v>
      </c>
      <c r="B30" s="89"/>
      <c r="C30" s="89"/>
      <c r="D30" s="90"/>
      <c r="E30" s="91">
        <f>+D29+H29</f>
        <v>2952900</v>
      </c>
      <c r="F30" s="92"/>
      <c r="G30" s="15"/>
      <c r="H30" s="16"/>
    </row>
    <row r="31" spans="1:8" ht="16" thickTop="1" x14ac:dyDescent="0.2"/>
  </sheetData>
  <mergeCells count="49">
    <mergeCell ref="A6:B6"/>
    <mergeCell ref="B1:G1"/>
    <mergeCell ref="A2:C2"/>
    <mergeCell ref="D2:E2"/>
    <mergeCell ref="F2:H2"/>
    <mergeCell ref="A5:H5"/>
    <mergeCell ref="A7:H7"/>
    <mergeCell ref="A8:H8"/>
    <mergeCell ref="A10:H10"/>
    <mergeCell ref="A11:C11"/>
    <mergeCell ref="E11:G11"/>
    <mergeCell ref="A9:C9"/>
    <mergeCell ref="A18:C18"/>
    <mergeCell ref="E18:G18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A17:C17"/>
    <mergeCell ref="E17:G17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  <mergeCell ref="A25:C25"/>
    <mergeCell ref="E25:G25"/>
    <mergeCell ref="A26:C26"/>
    <mergeCell ref="E26:G26"/>
    <mergeCell ref="A27:C27"/>
    <mergeCell ref="E27:G27"/>
    <mergeCell ref="A28:C28"/>
    <mergeCell ref="E28:G28"/>
    <mergeCell ref="A29:C29"/>
    <mergeCell ref="E29:G29"/>
    <mergeCell ref="A30:D30"/>
    <mergeCell ref="E30:F30"/>
  </mergeCells>
  <pageMargins left="0.70866141732283472" right="0.70866141732283472" top="0.39370078740157483" bottom="0.74803149606299213" header="0.31496062992125984" footer="0.31496062992125984"/>
  <pageSetup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9D5C-2B34-4FFC-BAD7-DDCD13DCE508}">
  <dimension ref="A1:F43"/>
  <sheetViews>
    <sheetView showGridLines="0" topLeftCell="A22" zoomScaleNormal="100" workbookViewId="0">
      <selection activeCell="F36" sqref="F36"/>
    </sheetView>
  </sheetViews>
  <sheetFormatPr baseColWidth="10" defaultRowHeight="15" x14ac:dyDescent="0.2"/>
  <cols>
    <col min="1" max="1" width="23.33203125" customWidth="1"/>
    <col min="2" max="2" width="13.83203125" customWidth="1"/>
    <col min="3" max="3" width="15" customWidth="1"/>
    <col min="4" max="4" width="25.5" customWidth="1"/>
    <col min="6" max="6" width="22.1640625" customWidth="1"/>
  </cols>
  <sheetData>
    <row r="1" spans="1:4" ht="34" x14ac:dyDescent="0.2">
      <c r="A1" s="17" t="s">
        <v>32</v>
      </c>
      <c r="D1" s="18" t="s">
        <v>33</v>
      </c>
    </row>
    <row r="2" spans="1:4" ht="16" x14ac:dyDescent="0.2">
      <c r="A2" s="19" t="s">
        <v>34</v>
      </c>
    </row>
    <row r="3" spans="1:4" ht="16" x14ac:dyDescent="0.2">
      <c r="A3" s="20" t="s">
        <v>35</v>
      </c>
    </row>
    <row r="4" spans="1:4" ht="16" x14ac:dyDescent="0.2">
      <c r="A4" s="20" t="s">
        <v>36</v>
      </c>
    </row>
    <row r="5" spans="1:4" ht="51" x14ac:dyDescent="0.2">
      <c r="A5" s="18" t="s">
        <v>37</v>
      </c>
    </row>
    <row r="6" spans="1:4" ht="16" x14ac:dyDescent="0.2">
      <c r="A6" s="20" t="s">
        <v>38</v>
      </c>
    </row>
    <row r="7" spans="1:4" x14ac:dyDescent="0.2">
      <c r="A7" s="21" t="s">
        <v>39</v>
      </c>
    </row>
    <row r="8" spans="1:4" ht="17" x14ac:dyDescent="0.2">
      <c r="A8" s="18" t="s">
        <v>40</v>
      </c>
    </row>
    <row r="9" spans="1:4" ht="16" x14ac:dyDescent="0.2">
      <c r="A9" s="22" t="s">
        <v>41</v>
      </c>
    </row>
    <row r="10" spans="1:4" ht="16" x14ac:dyDescent="0.2">
      <c r="A10" s="18"/>
    </row>
    <row r="11" spans="1:4" ht="16" x14ac:dyDescent="0.2">
      <c r="A11" s="18"/>
    </row>
    <row r="12" spans="1:4" ht="34" x14ac:dyDescent="0.2">
      <c r="A12" s="23" t="s">
        <v>42</v>
      </c>
    </row>
    <row r="13" spans="1:4" ht="51" x14ac:dyDescent="0.2">
      <c r="A13" s="23" t="s">
        <v>43</v>
      </c>
    </row>
    <row r="14" spans="1:4" ht="16" x14ac:dyDescent="0.2">
      <c r="A14" s="18"/>
    </row>
    <row r="15" spans="1:4" ht="17" x14ac:dyDescent="0.2">
      <c r="A15" s="23" t="s">
        <v>44</v>
      </c>
    </row>
    <row r="16" spans="1:4" ht="16" x14ac:dyDescent="0.2">
      <c r="A16" s="20"/>
    </row>
    <row r="17" spans="1:6" ht="17" thickBot="1" x14ac:dyDescent="0.25">
      <c r="A17" s="24" t="s">
        <v>45</v>
      </c>
    </row>
    <row r="18" spans="1:6" ht="16" x14ac:dyDescent="0.2">
      <c r="A18" s="25"/>
      <c r="B18" s="27"/>
      <c r="C18" s="27"/>
      <c r="D18" s="27"/>
      <c r="E18" s="27"/>
      <c r="F18" s="27"/>
    </row>
    <row r="19" spans="1:6" ht="35" thickBot="1" x14ac:dyDescent="0.25">
      <c r="A19" s="26" t="s">
        <v>46</v>
      </c>
      <c r="B19" s="28" t="s">
        <v>47</v>
      </c>
      <c r="C19" s="28" t="s">
        <v>48</v>
      </c>
      <c r="D19" s="28" t="s">
        <v>47</v>
      </c>
      <c r="E19" s="28" t="s">
        <v>49</v>
      </c>
      <c r="F19" s="28" t="s">
        <v>47</v>
      </c>
    </row>
    <row r="20" spans="1:6" ht="16" x14ac:dyDescent="0.2">
      <c r="A20" s="29"/>
      <c r="B20" s="31"/>
      <c r="C20" s="31"/>
      <c r="D20" s="31"/>
      <c r="E20" s="31"/>
      <c r="F20" s="31"/>
    </row>
    <row r="21" spans="1:6" ht="17" x14ac:dyDescent="0.2">
      <c r="A21" s="29" t="s">
        <v>50</v>
      </c>
      <c r="B21" s="32">
        <f>+'FICHE DE TAXE'!D18</f>
        <v>18000</v>
      </c>
      <c r="C21" s="31" t="s">
        <v>51</v>
      </c>
      <c r="D21" s="31" t="s">
        <v>51</v>
      </c>
      <c r="E21" s="31" t="s">
        <v>52</v>
      </c>
      <c r="F21" s="32">
        <v>19500</v>
      </c>
    </row>
    <row r="22" spans="1:6" ht="17" thickBot="1" x14ac:dyDescent="0.25">
      <c r="A22" s="30"/>
      <c r="B22" s="33"/>
      <c r="C22" s="34"/>
      <c r="D22" s="33"/>
      <c r="E22" s="33"/>
      <c r="F22" s="33"/>
    </row>
    <row r="23" spans="1:6" ht="16" x14ac:dyDescent="0.2">
      <c r="A23" s="29"/>
      <c r="B23" s="31"/>
      <c r="C23" s="35"/>
      <c r="D23" s="31"/>
      <c r="E23" s="31"/>
      <c r="F23" s="31"/>
    </row>
    <row r="24" spans="1:6" ht="17" x14ac:dyDescent="0.2">
      <c r="A24" s="29" t="s">
        <v>53</v>
      </c>
      <c r="B24" s="32">
        <f>'FICHE DE TAXE'!D13+'FICHE DE TAXE'!D14+'FICHE DE TAXE'!D15</f>
        <v>7500</v>
      </c>
      <c r="C24" s="31" t="s">
        <v>51</v>
      </c>
      <c r="D24" s="31" t="s">
        <v>51</v>
      </c>
      <c r="E24" s="31" t="s">
        <v>49</v>
      </c>
      <c r="F24" s="32">
        <v>870500</v>
      </c>
    </row>
    <row r="25" spans="1:6" ht="17" thickBot="1" x14ac:dyDescent="0.25">
      <c r="A25" s="30"/>
      <c r="B25" s="33"/>
      <c r="C25" s="33"/>
      <c r="D25" s="33"/>
      <c r="E25" s="33"/>
      <c r="F25" s="33"/>
    </row>
    <row r="26" spans="1:6" ht="16" x14ac:dyDescent="0.2">
      <c r="A26" s="29"/>
      <c r="B26" s="31"/>
      <c r="C26" s="31"/>
      <c r="D26" s="31"/>
      <c r="E26" s="31"/>
      <c r="F26" s="31"/>
    </row>
    <row r="27" spans="1:6" ht="17" x14ac:dyDescent="0.2">
      <c r="A27" s="29" t="s">
        <v>54</v>
      </c>
      <c r="B27" s="31">
        <f>+'FICHE DE TAXE'!D22+'FICHE DE TAXE'!D23</f>
        <v>1901400</v>
      </c>
      <c r="C27" s="31" t="s">
        <v>51</v>
      </c>
      <c r="D27" s="31" t="s">
        <v>51</v>
      </c>
      <c r="E27" s="31" t="s">
        <v>51</v>
      </c>
      <c r="F27" s="31" t="s">
        <v>51</v>
      </c>
    </row>
    <row r="28" spans="1:6" ht="17" thickBot="1" x14ac:dyDescent="0.25">
      <c r="A28" s="30"/>
      <c r="B28" s="33"/>
      <c r="C28" s="34"/>
      <c r="D28" s="33"/>
      <c r="E28" s="34"/>
      <c r="F28" s="33"/>
    </row>
    <row r="29" spans="1:6" ht="16" x14ac:dyDescent="0.2">
      <c r="A29" s="29"/>
      <c r="B29" s="31"/>
      <c r="C29" s="31"/>
      <c r="D29" s="31"/>
      <c r="E29" s="31"/>
      <c r="F29" s="31"/>
    </row>
    <row r="30" spans="1:6" ht="34" x14ac:dyDescent="0.2">
      <c r="A30" s="29" t="s">
        <v>55</v>
      </c>
      <c r="B30" s="32">
        <f>+'FICHE DE TAXE'!D26</f>
        <v>6000</v>
      </c>
      <c r="C30" s="31" t="s">
        <v>51</v>
      </c>
      <c r="D30" s="31" t="s">
        <v>51</v>
      </c>
      <c r="E30" s="31" t="s">
        <v>56</v>
      </c>
      <c r="F30" s="32">
        <v>110000</v>
      </c>
    </row>
    <row r="31" spans="1:6" ht="17" thickBot="1" x14ac:dyDescent="0.25">
      <c r="A31" s="36"/>
      <c r="B31" s="33"/>
      <c r="C31" s="34"/>
      <c r="D31" s="33"/>
      <c r="E31" s="33"/>
      <c r="F31" s="33"/>
    </row>
    <row r="32" spans="1:6" ht="16" x14ac:dyDescent="0.2">
      <c r="A32" s="29"/>
      <c r="B32" s="31"/>
      <c r="C32" s="31"/>
      <c r="D32" s="31"/>
      <c r="E32" s="31"/>
      <c r="F32" s="31"/>
    </row>
    <row r="33" spans="1:6" ht="17" x14ac:dyDescent="0.2">
      <c r="A33" s="37" t="s">
        <v>51</v>
      </c>
      <c r="B33" s="31" t="s">
        <v>51</v>
      </c>
      <c r="C33" s="31" t="s">
        <v>51</v>
      </c>
      <c r="D33" s="31" t="s">
        <v>51</v>
      </c>
      <c r="E33" s="31" t="s">
        <v>57</v>
      </c>
      <c r="F33" s="32">
        <v>20000</v>
      </c>
    </row>
    <row r="34" spans="1:6" ht="17" thickBot="1" x14ac:dyDescent="0.25">
      <c r="A34" s="30"/>
      <c r="B34" s="33"/>
      <c r="C34" s="33"/>
      <c r="D34" s="33"/>
      <c r="E34" s="33"/>
      <c r="F34" s="33"/>
    </row>
    <row r="35" spans="1:6" ht="16" x14ac:dyDescent="0.2">
      <c r="A35" s="37"/>
      <c r="B35" s="35"/>
      <c r="C35" s="31"/>
      <c r="D35" s="31"/>
      <c r="E35" s="31"/>
      <c r="F35" s="31"/>
    </row>
    <row r="36" spans="1:6" ht="35" thickBot="1" x14ac:dyDescent="0.25">
      <c r="A36" s="30" t="s">
        <v>58</v>
      </c>
      <c r="B36" s="41">
        <f>SUM(B21:B34)</f>
        <v>1932900</v>
      </c>
      <c r="C36" s="34" t="s">
        <v>59</v>
      </c>
      <c r="D36" s="34" t="s">
        <v>51</v>
      </c>
      <c r="E36" s="34" t="s">
        <v>60</v>
      </c>
      <c r="F36" s="34" t="s">
        <v>61</v>
      </c>
    </row>
    <row r="37" spans="1:6" ht="16" x14ac:dyDescent="0.2">
      <c r="A37" s="116"/>
      <c r="B37" s="117"/>
      <c r="C37" s="117"/>
      <c r="D37" s="117"/>
      <c r="E37" s="117"/>
      <c r="F37" s="118"/>
    </row>
    <row r="38" spans="1:6" ht="16.5" customHeight="1" thickBot="1" x14ac:dyDescent="0.25">
      <c r="A38" s="119" t="s">
        <v>62</v>
      </c>
      <c r="B38" s="120"/>
      <c r="C38" s="120"/>
      <c r="D38" s="120"/>
      <c r="E38" s="120"/>
      <c r="F38" s="121"/>
    </row>
    <row r="39" spans="1:6" ht="16" x14ac:dyDescent="0.2">
      <c r="A39" s="38"/>
    </row>
    <row r="40" spans="1:6" ht="16" x14ac:dyDescent="0.2">
      <c r="A40" s="39" t="s">
        <v>63</v>
      </c>
    </row>
    <row r="41" spans="1:6" ht="16" x14ac:dyDescent="0.2">
      <c r="A41" s="39"/>
    </row>
    <row r="42" spans="1:6" ht="16" x14ac:dyDescent="0.2">
      <c r="A42" s="39"/>
    </row>
    <row r="43" spans="1:6" ht="16" x14ac:dyDescent="0.2">
      <c r="A43" s="40" t="s">
        <v>64</v>
      </c>
    </row>
  </sheetData>
  <mergeCells count="2">
    <mergeCell ref="A37:F37"/>
    <mergeCell ref="A38:F38"/>
  </mergeCells>
  <hyperlinks>
    <hyperlink ref="A7" r:id="rId1" display="mailto:okoueginette@notaire.ci" xr:uid="{1B1B96E1-D884-4F36-A591-7E00D12ED9E2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7FCB-0156-4B72-B1F9-343F674F229B}">
  <dimension ref="B3:E50"/>
  <sheetViews>
    <sheetView tabSelected="1" showWhiteSpace="0" topLeftCell="A16" zoomScaleNormal="100" workbookViewId="0">
      <selection activeCell="E24" sqref="E24"/>
    </sheetView>
  </sheetViews>
  <sheetFormatPr baseColWidth="10" defaultRowHeight="15" x14ac:dyDescent="0.2"/>
  <cols>
    <col min="1" max="1" width="4.5" customWidth="1"/>
    <col min="2" max="2" width="17.5" customWidth="1"/>
    <col min="3" max="3" width="17.6640625" customWidth="1"/>
    <col min="4" max="4" width="21.33203125" customWidth="1"/>
    <col min="5" max="5" width="16.1640625" customWidth="1"/>
  </cols>
  <sheetData>
    <row r="3" spans="2:5" ht="16" x14ac:dyDescent="0.2">
      <c r="B3" s="62"/>
      <c r="D3" s="69">
        <f>BASE!F11</f>
        <v>44833</v>
      </c>
    </row>
    <row r="4" spans="2:5" ht="17" x14ac:dyDescent="0.2">
      <c r="B4" s="18" t="s">
        <v>82</v>
      </c>
    </row>
    <row r="5" spans="2:5" ht="16" x14ac:dyDescent="0.2">
      <c r="B5" s="18"/>
    </row>
    <row r="6" spans="2:5" ht="17" x14ac:dyDescent="0.2">
      <c r="B6" s="23" t="s">
        <v>97</v>
      </c>
      <c r="C6" t="str">
        <f>BASE!F9</f>
        <v>SCI LES HIBISCUS</v>
      </c>
    </row>
    <row r="7" spans="2:5" ht="16" x14ac:dyDescent="0.2">
      <c r="C7" s="63" t="s">
        <v>83</v>
      </c>
    </row>
    <row r="8" spans="2:5" ht="16" x14ac:dyDescent="0.2">
      <c r="B8" s="24" t="s">
        <v>98</v>
      </c>
      <c r="C8" t="str">
        <f>BASE!F10</f>
        <v xml:space="preserve"> Mainlevée d'hypothèque SIB</v>
      </c>
    </row>
    <row r="9" spans="2:5" ht="17" x14ac:dyDescent="0.2">
      <c r="B9" s="18" t="s">
        <v>83</v>
      </c>
    </row>
    <row r="10" spans="2:5" ht="16" x14ac:dyDescent="0.2">
      <c r="B10" s="24" t="s">
        <v>99</v>
      </c>
      <c r="C10" s="68">
        <v>1506</v>
      </c>
    </row>
    <row r="11" spans="2:5" ht="17" thickBot="1" x14ac:dyDescent="0.25">
      <c r="B11" s="20"/>
    </row>
    <row r="12" spans="2:5" ht="16" x14ac:dyDescent="0.2">
      <c r="B12" s="25"/>
      <c r="C12" s="27"/>
      <c r="D12" s="27"/>
      <c r="E12" s="27"/>
    </row>
    <row r="13" spans="2:5" ht="18" thickBot="1" x14ac:dyDescent="0.25">
      <c r="B13" s="64" t="s">
        <v>84</v>
      </c>
      <c r="C13" s="43" t="s">
        <v>85</v>
      </c>
      <c r="D13" s="43" t="s">
        <v>86</v>
      </c>
      <c r="E13" s="43" t="s">
        <v>15</v>
      </c>
    </row>
    <row r="14" spans="2:5" ht="16" x14ac:dyDescent="0.2">
      <c r="B14" s="29"/>
      <c r="C14" s="31"/>
      <c r="D14" s="31"/>
      <c r="E14" s="31"/>
    </row>
    <row r="15" spans="2:5" ht="18" thickBot="1" x14ac:dyDescent="0.25">
      <c r="B15" s="30" t="s">
        <v>87</v>
      </c>
      <c r="C15" s="41">
        <v>18000</v>
      </c>
      <c r="D15" s="34" t="s">
        <v>51</v>
      </c>
      <c r="E15" s="34" t="s">
        <v>51</v>
      </c>
    </row>
    <row r="16" spans="2:5" ht="16" x14ac:dyDescent="0.2">
      <c r="B16" s="29"/>
      <c r="C16" s="31"/>
      <c r="D16" s="31"/>
      <c r="E16" s="31"/>
    </row>
    <row r="17" spans="2:5" ht="18" thickBot="1" x14ac:dyDescent="0.25">
      <c r="B17" s="30" t="s">
        <v>88</v>
      </c>
      <c r="C17" s="41">
        <v>30500</v>
      </c>
      <c r="D17" s="34" t="s">
        <v>51</v>
      </c>
      <c r="E17" s="34" t="s">
        <v>51</v>
      </c>
    </row>
    <row r="18" spans="2:5" x14ac:dyDescent="0.2">
      <c r="B18" s="65"/>
      <c r="C18" s="66"/>
      <c r="D18" s="66"/>
      <c r="E18" s="66"/>
    </row>
    <row r="19" spans="2:5" ht="18" thickBot="1" x14ac:dyDescent="0.25">
      <c r="B19" s="30" t="s">
        <v>54</v>
      </c>
      <c r="C19" s="34" t="s">
        <v>89</v>
      </c>
      <c r="D19" s="34" t="s">
        <v>51</v>
      </c>
      <c r="E19" s="34" t="s">
        <v>51</v>
      </c>
    </row>
    <row r="20" spans="2:5" ht="16" x14ac:dyDescent="0.2">
      <c r="B20" s="29"/>
      <c r="C20" s="31"/>
      <c r="D20" s="31"/>
      <c r="E20" s="31"/>
    </row>
    <row r="21" spans="2:5" ht="18" thickBot="1" x14ac:dyDescent="0.25">
      <c r="B21" s="30" t="s">
        <v>55</v>
      </c>
      <c r="C21" s="34" t="s">
        <v>90</v>
      </c>
      <c r="D21" s="34" t="s">
        <v>51</v>
      </c>
      <c r="E21" s="34" t="s">
        <v>51</v>
      </c>
    </row>
    <row r="22" spans="2:5" ht="16" x14ac:dyDescent="0.2">
      <c r="B22" s="29"/>
      <c r="C22" s="31"/>
      <c r="D22" s="31"/>
      <c r="E22" s="31"/>
    </row>
    <row r="23" spans="2:5" ht="18" thickBot="1" x14ac:dyDescent="0.25">
      <c r="B23" s="30" t="s">
        <v>91</v>
      </c>
      <c r="C23" s="34" t="s">
        <v>51</v>
      </c>
      <c r="D23" s="34" t="s">
        <v>51</v>
      </c>
      <c r="E23" s="34">
        <f>'FICHE DE TAXE'!E30:F30</f>
        <v>2952900</v>
      </c>
    </row>
    <row r="24" spans="2:5" ht="16" x14ac:dyDescent="0.2">
      <c r="B24" s="29"/>
      <c r="C24" s="31"/>
      <c r="D24" s="31"/>
      <c r="E24" s="31"/>
    </row>
    <row r="25" spans="2:5" ht="35" thickBot="1" x14ac:dyDescent="0.25">
      <c r="B25" s="30" t="s">
        <v>93</v>
      </c>
      <c r="C25" s="41">
        <v>415143</v>
      </c>
      <c r="D25" s="34" t="s">
        <v>51</v>
      </c>
      <c r="E25" s="34" t="s">
        <v>51</v>
      </c>
    </row>
    <row r="26" spans="2:5" ht="16" x14ac:dyDescent="0.2">
      <c r="B26" s="29"/>
      <c r="C26" s="31"/>
      <c r="D26" s="31"/>
      <c r="E26" s="31"/>
    </row>
    <row r="27" spans="2:5" ht="18" thickBot="1" x14ac:dyDescent="0.25">
      <c r="B27" s="30" t="s">
        <v>94</v>
      </c>
      <c r="C27" s="34" t="s">
        <v>95</v>
      </c>
      <c r="D27" s="34" t="s">
        <v>51</v>
      </c>
      <c r="E27" s="34" t="s">
        <v>92</v>
      </c>
    </row>
    <row r="28" spans="2:5" ht="16" x14ac:dyDescent="0.2">
      <c r="B28" s="71"/>
      <c r="C28" s="72"/>
      <c r="D28" s="72"/>
      <c r="E28" s="73"/>
    </row>
    <row r="29" spans="2:5" ht="15.75" customHeight="1" x14ac:dyDescent="0.2">
      <c r="B29" s="74" t="s">
        <v>96</v>
      </c>
      <c r="C29" s="75"/>
      <c r="D29" s="75"/>
      <c r="E29" s="76"/>
    </row>
    <row r="30" spans="2:5" ht="17" thickBot="1" x14ac:dyDescent="0.25">
      <c r="B30" s="77"/>
      <c r="C30" s="78"/>
      <c r="D30" s="78"/>
      <c r="E30" s="79"/>
    </row>
    <row r="31" spans="2:5" ht="16" x14ac:dyDescent="0.2">
      <c r="B31" s="38"/>
    </row>
    <row r="32" spans="2:5" ht="16" x14ac:dyDescent="0.2">
      <c r="B32" s="39" t="s">
        <v>100</v>
      </c>
    </row>
    <row r="33" spans="2:4" ht="16" x14ac:dyDescent="0.2">
      <c r="B33" s="20" t="s">
        <v>101</v>
      </c>
    </row>
    <row r="34" spans="2:4" x14ac:dyDescent="0.2">
      <c r="B34" s="67"/>
    </row>
    <row r="35" spans="2:4" ht="16" x14ac:dyDescent="0.2">
      <c r="B35" s="40"/>
    </row>
    <row r="36" spans="2:4" ht="16" x14ac:dyDescent="0.2">
      <c r="B36" s="62"/>
    </row>
    <row r="37" spans="2:4" ht="16" x14ac:dyDescent="0.2">
      <c r="B37" s="62"/>
    </row>
    <row r="38" spans="2:4" ht="16" x14ac:dyDescent="0.2">
      <c r="B38" s="62"/>
    </row>
    <row r="39" spans="2:4" ht="16" x14ac:dyDescent="0.2">
      <c r="B39" s="62"/>
      <c r="D39" s="70" t="s">
        <v>64</v>
      </c>
    </row>
    <row r="40" spans="2:4" ht="16" x14ac:dyDescent="0.2">
      <c r="B40" s="62"/>
    </row>
    <row r="41" spans="2:4" ht="16" x14ac:dyDescent="0.2">
      <c r="B41" s="62"/>
    </row>
    <row r="42" spans="2:4" ht="16" x14ac:dyDescent="0.2">
      <c r="B42" s="62"/>
    </row>
    <row r="43" spans="2:4" ht="16" x14ac:dyDescent="0.2">
      <c r="B43" s="62"/>
    </row>
    <row r="44" spans="2:4" ht="16" x14ac:dyDescent="0.2">
      <c r="B44" s="62"/>
    </row>
    <row r="45" spans="2:4" ht="16" x14ac:dyDescent="0.2">
      <c r="B45" s="62"/>
    </row>
    <row r="46" spans="2:4" ht="16" x14ac:dyDescent="0.2">
      <c r="B46" s="62"/>
    </row>
    <row r="47" spans="2:4" ht="16" x14ac:dyDescent="0.2">
      <c r="B47" s="62"/>
    </row>
    <row r="48" spans="2:4" ht="16" x14ac:dyDescent="0.2">
      <c r="B48" s="62"/>
    </row>
    <row r="49" spans="2:2" ht="16" x14ac:dyDescent="0.2">
      <c r="B49" s="62"/>
    </row>
    <row r="50" spans="2:2" ht="16" x14ac:dyDescent="0.2">
      <c r="B50" s="20"/>
    </row>
  </sheetData>
  <mergeCells count="3">
    <mergeCell ref="B28:E28"/>
    <mergeCell ref="B29:E29"/>
    <mergeCell ref="B30:E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BASE</vt:lpstr>
      <vt:lpstr>FICHE DE TAXE</vt:lpstr>
      <vt:lpstr>NOTE DE FRAIS</vt:lpstr>
      <vt:lpstr>FACTURE NORMALISE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monsi</dc:creator>
  <cp:lastModifiedBy>Marie Karen BEDOMO</cp:lastModifiedBy>
  <cp:lastPrinted>2023-04-12T18:29:59Z</cp:lastPrinted>
  <dcterms:created xsi:type="dcterms:W3CDTF">2022-10-27T22:05:38Z</dcterms:created>
  <dcterms:modified xsi:type="dcterms:W3CDTF">2026-08-22T20:43:30Z</dcterms:modified>
</cp:coreProperties>
</file>