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ad\profils$\compta1\Desktop\MATRICES DES TAXES\"/>
    </mc:Choice>
  </mc:AlternateContent>
  <xr:revisionPtr revIDLastSave="0" documentId="13_ncr:1_{929AEB4A-30CC-4B5F-A4B4-5872B9AFC5EE}" xr6:coauthVersionLast="47" xr6:coauthVersionMax="47" xr10:uidLastSave="{00000000-0000-0000-0000-000000000000}"/>
  <bookViews>
    <workbookView xWindow="-120" yWindow="-120" windowWidth="24240" windowHeight="13140" xr2:uid="{644FE9A7-7672-4D0E-95C6-1C476C1C2E19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D10" i="2"/>
  <c r="C10" i="2"/>
  <c r="C7" i="2"/>
  <c r="C37" i="1"/>
  <c r="D37" i="1"/>
  <c r="B37" i="1"/>
  <c r="B38" i="1" l="1"/>
</calcChain>
</file>

<file path=xl/sharedStrings.xml><?xml version="1.0" encoding="utf-8"?>
<sst xmlns="http://schemas.openxmlformats.org/spreadsheetml/2006/main" count="54" uniqueCount="54">
  <si>
    <t xml:space="preserve">ETUDE DE MAÎTRE KOFFI-ABOUT A. MIREILLE   </t>
  </si>
  <si>
    <t>NOTAIRE</t>
  </si>
  <si>
    <t>01 BP 2341 ABIDJAN 01</t>
  </si>
  <si>
    <t>Tél. : 27 20 22 67 52 /07 08 36 99 46</t>
  </si>
  <si>
    <t xml:space="preserve">Fax : 27 20 32 96 87  </t>
  </si>
  <si>
    <t xml:space="preserve">Régime d’imposition : T E E  </t>
  </si>
  <si>
    <t xml:space="preserve">N°CC : 05 36 640 L                                                               </t>
  </si>
  <si>
    <t xml:space="preserve">            </t>
  </si>
  <si>
    <t>RUBRIQUES</t>
  </si>
  <si>
    <t>EMOLUMENTS</t>
  </si>
  <si>
    <t>TRESOR</t>
  </si>
  <si>
    <t>DEBOURS</t>
  </si>
  <si>
    <t>Droit d'enregistrement</t>
  </si>
  <si>
    <t>Débours divers</t>
  </si>
  <si>
    <t>SOUS / TOTAUX</t>
  </si>
  <si>
    <t>TOTAL A PAYER</t>
  </si>
  <si>
    <t>Sauf à parfaire ou à diminuer, veuillez arrêter la présente taxe prévisionnelle à la somme de:</t>
  </si>
  <si>
    <t>Akoua Mireille</t>
  </si>
  <si>
    <t>Me KOFFI-ABOUT AKOUA Mireille</t>
  </si>
  <si>
    <t>NB: LA PRESENTE TAXE DOIT INTEGRALEMENT ETRE REGLEE AVANT LA SIGNATURE DE L'ACTE.</t>
  </si>
  <si>
    <t xml:space="preserve">Emoluments </t>
  </si>
  <si>
    <t>Formalités</t>
  </si>
  <si>
    <t>*Fixe</t>
  </si>
  <si>
    <t>*Proportionnel</t>
  </si>
  <si>
    <t>*Acte Nature d'acte</t>
  </si>
  <si>
    <t>*Roles</t>
  </si>
  <si>
    <t>*Frais de déplacement et de Séjour</t>
  </si>
  <si>
    <t>*Demande de situation fiscale</t>
  </si>
  <si>
    <t>*Demande d'autorisation Ministérielle</t>
  </si>
  <si>
    <t>*Demande de Certificat de Localisation</t>
  </si>
  <si>
    <t>*Demande de Certificat de Mutation et de Propriété</t>
  </si>
  <si>
    <t>*Demande de Confirmationde lettre d'attribution</t>
  </si>
  <si>
    <t>*Demande de lettre d'Attribution, d'ACP</t>
  </si>
  <si>
    <t>*Extraits Topographiques</t>
  </si>
  <si>
    <t>*Inscription au livre foncier</t>
  </si>
  <si>
    <t>*Etat Foncier</t>
  </si>
  <si>
    <t>*Taxe Foncière</t>
  </si>
  <si>
    <r>
      <t xml:space="preserve">En cas de règlement par chèque, merci de le libeller au nom de: </t>
    </r>
    <r>
      <rPr>
        <b/>
        <sz val="14"/>
        <color rgb="FF000000"/>
        <rFont val="Calibri"/>
        <family val="2"/>
        <scheme val="minor"/>
      </rPr>
      <t>ETUDE DE MAITRE KOFFI-ABOUT</t>
    </r>
  </si>
  <si>
    <t>RCCM</t>
  </si>
  <si>
    <t>CERTIFICATDE DEPOT</t>
  </si>
  <si>
    <t>CODE IMPORT EXPORT</t>
  </si>
  <si>
    <t>ENREGISTREMENT (36000*2)</t>
  </si>
  <si>
    <t>COA</t>
  </si>
  <si>
    <t>COURS DES GRANDS</t>
  </si>
  <si>
    <t xml:space="preserve"> TOTAL</t>
  </si>
  <si>
    <t>LIBELLES</t>
  </si>
  <si>
    <t>CONTRAT DE BAIL (Hors délai)</t>
  </si>
  <si>
    <t>TOTAL GENERAL</t>
  </si>
  <si>
    <r>
      <rPr>
        <b/>
        <sz val="16"/>
        <color theme="1"/>
        <rFont val="Calibri"/>
        <family val="2"/>
        <scheme val="minor"/>
      </rPr>
      <t xml:space="preserve">                                               </t>
    </r>
    <r>
      <rPr>
        <b/>
        <u/>
        <sz val="16"/>
        <color theme="1"/>
        <rFont val="Calibri"/>
        <family val="2"/>
        <scheme val="minor"/>
      </rPr>
      <t>POINT DES ENREGISTREMENTS AU CEPICI</t>
    </r>
  </si>
  <si>
    <t xml:space="preserve">Abidjan le,  </t>
  </si>
  <si>
    <t xml:space="preserve">AFFAIRE: PROCURATION PAR </t>
  </si>
  <si>
    <t>Timbres fiscaux minutes</t>
  </si>
  <si>
    <t>Timbres fiscaux expéditions</t>
  </si>
  <si>
    <t>*Art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</si>
</sst>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_-* #,##0_-;\-* #,##0_-;_-* &quot;-&quot;??_-;_-@_-"/>
    <numFmt numFmtId="166" formatCode="_-* #,##0\ _€_-;\-* #,##0\ _€_-;_-* &quot;-&quot;??\ _€_-;_-@_-"/>
  </numFmts>
  <fonts count="12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4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3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3" fontId="0" fillId="0" borderId="0" xfId="1" applyFont="1"/>
    <xf numFmtId="0" fontId="4" fillId="0" borderId="0" xfId="0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7" fillId="0" borderId="0" xfId="0" applyNumberFormat="1" applyFont="1" applyAlignment="1">
      <alignment horizontal="center" vertical="center"/>
    </xf>
    <xf numFmtId="43" fontId="7" fillId="0" borderId="0" xfId="1" applyFont="1" applyAlignment="1">
      <alignment horizontal="center" vertical="center"/>
    </xf>
    <xf numFmtId="0" fontId="6" fillId="0" borderId="0" xfId="0" applyFont="1"/>
    <xf numFmtId="0" fontId="4" fillId="0" borderId="8" xfId="0" applyFont="1" applyBorder="1" applyAlignment="1">
      <alignment horizontal="center" vertical="center"/>
    </xf>
    <xf numFmtId="165" fontId="4" fillId="0" borderId="10" xfId="1" applyNumberFormat="1" applyFont="1" applyBorder="1" applyAlignment="1">
      <alignment horizontal="center" vertical="center"/>
    </xf>
    <xf numFmtId="165" fontId="4" fillId="0" borderId="12" xfId="1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5" fontId="4" fillId="0" borderId="15" xfId="1" applyNumberFormat="1" applyFont="1" applyBorder="1" applyAlignment="1">
      <alignment horizontal="center" vertical="center"/>
    </xf>
    <xf numFmtId="165" fontId="4" fillId="0" borderId="16" xfId="1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  <xf numFmtId="165" fontId="7" fillId="0" borderId="12" xfId="1" applyNumberFormat="1" applyFont="1" applyBorder="1" applyAlignment="1">
      <alignment horizontal="center" vertical="center"/>
    </xf>
    <xf numFmtId="165" fontId="7" fillId="0" borderId="10" xfId="1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0" fontId="9" fillId="0" borderId="7" xfId="0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5" fontId="7" fillId="2" borderId="13" xfId="1" applyNumberFormat="1" applyFont="1" applyFill="1" applyBorder="1" applyAlignment="1">
      <alignment horizontal="center" vertical="center"/>
    </xf>
    <xf numFmtId="165" fontId="7" fillId="0" borderId="11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/>
    </xf>
    <xf numFmtId="3" fontId="2" fillId="0" borderId="7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1" fillId="0" borderId="0" xfId="0" applyFont="1"/>
    <xf numFmtId="0" fontId="4" fillId="0" borderId="0" xfId="0" applyFont="1"/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indent="13"/>
    </xf>
    <xf numFmtId="3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1</xdr:row>
      <xdr:rowOff>114300</xdr:rowOff>
    </xdr:from>
    <xdr:to>
      <xdr:col>3</xdr:col>
      <xdr:colOff>914400</xdr:colOff>
      <xdr:row>6</xdr:row>
      <xdr:rowOff>95250</xdr:rowOff>
    </xdr:to>
    <xdr:sp macro="" textlink="">
      <xdr:nvSpPr>
        <xdr:cNvPr id="1026" name="Rectangle à coins arrondis 2">
          <a:extLst>
            <a:ext uri="{FF2B5EF4-FFF2-40B4-BE49-F238E27FC236}">
              <a16:creationId xmlns:a16="http://schemas.microsoft.com/office/drawing/2014/main" id="{783512BA-DF17-778F-962E-A31C61D2AA5F}"/>
            </a:ext>
          </a:extLst>
        </xdr:cNvPr>
        <xdr:cNvSpPr>
          <a:spLocks noChangeArrowheads="1"/>
        </xdr:cNvSpPr>
      </xdr:nvSpPr>
      <xdr:spPr bwMode="auto">
        <a:xfrm>
          <a:off x="4429125" y="1552575"/>
          <a:ext cx="2819400" cy="1076325"/>
        </a:xfrm>
        <a:prstGeom prst="roundRect">
          <a:avLst>
            <a:gd name="adj" fmla="val 16667"/>
          </a:avLst>
        </a:prstGeom>
        <a:solidFill>
          <a:srgbClr val="FFFFFF"/>
        </a:solidFill>
        <a:ln w="57150" cmpd="thickThin">
          <a:solidFill>
            <a:srgbClr val="000000"/>
          </a:solidFill>
          <a:round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1400" b="1" i="0" u="sng" strike="noStrike" baseline="0">
              <a:solidFill>
                <a:srgbClr val="000000"/>
              </a:solidFill>
              <a:latin typeface="Calibri"/>
            </a:rPr>
            <a:t> A L'ATTENTION DE</a:t>
          </a:r>
          <a:r>
            <a:rPr lang="fr-FR" sz="1400" b="1" i="0" u="none" strike="noStrike" baseline="0">
              <a:solidFill>
                <a:srgbClr val="000000"/>
              </a:solidFill>
              <a:latin typeface="Calibri"/>
            </a:rPr>
            <a:t>:</a:t>
          </a:r>
        </a:p>
        <a:p>
          <a:pPr algn="l" rtl="0">
            <a:defRPr sz="1000"/>
          </a:pPr>
          <a:endParaRPr lang="fr-FR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fr-FR" sz="1600" b="1" i="0" u="none" strike="noStrike" baseline="0">
              <a:solidFill>
                <a:srgbClr val="000000"/>
              </a:solidFill>
              <a:latin typeface="Calibri"/>
            </a:rPr>
            <a:t>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6227-51EC-4DD4-A25E-DBDB765A2A8F}">
  <dimension ref="A1:E73"/>
  <sheetViews>
    <sheetView tabSelected="1" topLeftCell="A29" workbookViewId="0">
      <selection activeCell="F10" sqref="F10"/>
    </sheetView>
  </sheetViews>
  <sheetFormatPr baseColWidth="10" defaultRowHeight="15" x14ac:dyDescent="0.25"/>
  <cols>
    <col min="1" max="1" width="58.5703125" customWidth="1"/>
    <col min="2" max="2" width="19.5703125" customWidth="1"/>
    <col min="3" max="3" width="16.85546875" customWidth="1"/>
    <col min="4" max="4" width="28.5703125" customWidth="1"/>
  </cols>
  <sheetData>
    <row r="1" spans="1:5" ht="18.75" x14ac:dyDescent="0.3">
      <c r="A1" s="46" t="s">
        <v>0</v>
      </c>
      <c r="B1" s="46"/>
      <c r="C1" s="5"/>
      <c r="D1" s="5"/>
      <c r="E1" s="5"/>
    </row>
    <row r="2" spans="1:5" ht="18.75" x14ac:dyDescent="0.3">
      <c r="A2" s="6" t="s">
        <v>1</v>
      </c>
      <c r="B2" s="5"/>
      <c r="C2" s="47"/>
      <c r="D2" s="5"/>
      <c r="E2" s="5"/>
    </row>
    <row r="3" spans="1:5" ht="18.75" x14ac:dyDescent="0.3">
      <c r="A3" s="40" t="s">
        <v>2</v>
      </c>
      <c r="B3" s="5"/>
      <c r="C3" s="5"/>
      <c r="D3" s="5"/>
      <c r="E3" s="5"/>
    </row>
    <row r="4" spans="1:5" ht="18.75" x14ac:dyDescent="0.3">
      <c r="A4" s="44" t="s">
        <v>3</v>
      </c>
      <c r="B4" s="44"/>
      <c r="C4" s="5"/>
      <c r="D4" s="5"/>
      <c r="E4" s="5"/>
    </row>
    <row r="5" spans="1:5" ht="18.75" x14ac:dyDescent="0.3">
      <c r="A5" s="40" t="s">
        <v>4</v>
      </c>
      <c r="B5" s="5"/>
      <c r="C5" s="5"/>
      <c r="D5" s="5"/>
      <c r="E5" s="5"/>
    </row>
    <row r="6" spans="1:5" ht="18.75" x14ac:dyDescent="0.3">
      <c r="A6" s="44" t="s">
        <v>5</v>
      </c>
      <c r="B6" s="44"/>
      <c r="C6" s="5"/>
      <c r="D6" s="5"/>
      <c r="E6" s="5"/>
    </row>
    <row r="7" spans="1:5" ht="18.75" x14ac:dyDescent="0.3">
      <c r="A7" s="44" t="s">
        <v>6</v>
      </c>
      <c r="B7" s="44"/>
      <c r="C7" s="44"/>
      <c r="D7" s="5"/>
      <c r="E7" s="5"/>
    </row>
    <row r="8" spans="1:5" ht="18.75" x14ac:dyDescent="0.3">
      <c r="A8" s="5"/>
      <c r="B8" s="48"/>
      <c r="C8" s="48"/>
      <c r="D8" s="48"/>
      <c r="E8" s="5"/>
    </row>
    <row r="9" spans="1:5" ht="18.75" x14ac:dyDescent="0.25">
      <c r="A9" s="49" t="s">
        <v>49</v>
      </c>
      <c r="B9" s="48"/>
      <c r="C9" s="48"/>
      <c r="D9" s="48"/>
      <c r="E9" s="50" t="s">
        <v>7</v>
      </c>
    </row>
    <row r="10" spans="1:5" ht="39" customHeight="1" x14ac:dyDescent="0.3">
      <c r="A10" s="45" t="s">
        <v>50</v>
      </c>
      <c r="B10" s="45"/>
      <c r="C10" s="45"/>
      <c r="D10" s="45"/>
      <c r="E10" s="5"/>
    </row>
    <row r="11" spans="1:5" ht="10.5" customHeight="1" thickBot="1" x14ac:dyDescent="0.35">
      <c r="A11" s="6"/>
      <c r="B11" s="51"/>
      <c r="C11" s="5"/>
      <c r="D11" s="5"/>
      <c r="E11" s="5"/>
    </row>
    <row r="12" spans="1:5" ht="12" hidden="1" customHeight="1" thickBot="1" x14ac:dyDescent="0.35">
      <c r="A12" s="6"/>
      <c r="B12" s="5"/>
      <c r="C12" s="5"/>
      <c r="D12" s="5"/>
      <c r="E12" s="5"/>
    </row>
    <row r="13" spans="1:5" ht="19.5" hidden="1" thickBot="1" x14ac:dyDescent="0.35">
      <c r="A13" s="5"/>
      <c r="B13" s="5"/>
      <c r="C13" s="5"/>
      <c r="D13" s="5"/>
      <c r="E13" s="5"/>
    </row>
    <row r="14" spans="1:5" s="20" customFormat="1" ht="27" customHeight="1" thickBot="1" x14ac:dyDescent="0.35">
      <c r="A14" s="3" t="s">
        <v>8</v>
      </c>
      <c r="B14" s="52" t="s">
        <v>9</v>
      </c>
      <c r="C14" s="52" t="s">
        <v>10</v>
      </c>
      <c r="D14" s="52" t="s">
        <v>11</v>
      </c>
      <c r="E14" s="53"/>
    </row>
    <row r="15" spans="1:5" ht="24" customHeight="1" x14ac:dyDescent="0.3">
      <c r="A15" s="1" t="s">
        <v>51</v>
      </c>
      <c r="B15" s="8"/>
      <c r="C15" s="9">
        <v>5000</v>
      </c>
      <c r="D15" s="8"/>
      <c r="E15" s="5"/>
    </row>
    <row r="16" spans="1:5" ht="27" customHeight="1" x14ac:dyDescent="0.3">
      <c r="A16" s="1" t="s">
        <v>52</v>
      </c>
      <c r="B16" s="8"/>
      <c r="C16" s="9">
        <v>15000</v>
      </c>
      <c r="D16" s="8"/>
      <c r="E16" s="5"/>
    </row>
    <row r="17" spans="1:5" ht="29.25" customHeight="1" x14ac:dyDescent="0.3">
      <c r="A17" s="2" t="s">
        <v>12</v>
      </c>
      <c r="B17" s="8"/>
      <c r="C17" s="8"/>
      <c r="D17" s="8"/>
      <c r="E17" s="5"/>
    </row>
    <row r="18" spans="1:5" ht="25.5" customHeight="1" x14ac:dyDescent="0.3">
      <c r="A18" s="2" t="s">
        <v>22</v>
      </c>
      <c r="B18" s="8"/>
      <c r="C18" s="8">
        <v>25000</v>
      </c>
      <c r="D18" s="8"/>
      <c r="E18" s="5"/>
    </row>
    <row r="19" spans="1:5" ht="23.25" customHeight="1" x14ac:dyDescent="0.3">
      <c r="A19" s="2" t="s">
        <v>23</v>
      </c>
      <c r="B19" s="8"/>
      <c r="C19" s="8"/>
      <c r="D19" s="8"/>
      <c r="E19" s="5"/>
    </row>
    <row r="20" spans="1:5" ht="24" customHeight="1" x14ac:dyDescent="0.3">
      <c r="A20" s="2" t="s">
        <v>20</v>
      </c>
      <c r="B20" s="8"/>
      <c r="C20" s="8"/>
      <c r="D20" s="8"/>
      <c r="E20" s="5"/>
    </row>
    <row r="21" spans="1:5" ht="31.5" customHeight="1" x14ac:dyDescent="0.3">
      <c r="A21" s="2" t="s">
        <v>24</v>
      </c>
      <c r="B21" s="8">
        <v>50000</v>
      </c>
      <c r="C21" s="8"/>
      <c r="D21" s="8"/>
      <c r="E21" s="5"/>
    </row>
    <row r="22" spans="1:5" ht="26.25" customHeight="1" x14ac:dyDescent="0.3">
      <c r="A22" s="2" t="s">
        <v>25</v>
      </c>
      <c r="B22" s="8">
        <v>20000</v>
      </c>
      <c r="C22" s="8"/>
      <c r="D22" s="8"/>
      <c r="E22" s="5"/>
    </row>
    <row r="23" spans="1:5" ht="27" customHeight="1" x14ac:dyDescent="0.3">
      <c r="A23" s="2" t="s">
        <v>26</v>
      </c>
      <c r="B23" s="8"/>
      <c r="C23" s="8"/>
      <c r="D23" s="8"/>
      <c r="E23" s="5"/>
    </row>
    <row r="24" spans="1:5" ht="30.75" customHeight="1" x14ac:dyDescent="0.3">
      <c r="A24" s="2" t="s">
        <v>21</v>
      </c>
      <c r="B24" s="8"/>
      <c r="C24" s="8"/>
      <c r="D24" s="8"/>
      <c r="E24" s="5"/>
    </row>
    <row r="25" spans="1:5" ht="18.75" x14ac:dyDescent="0.3">
      <c r="A25" s="2" t="s">
        <v>36</v>
      </c>
      <c r="B25" s="8"/>
      <c r="C25" s="8"/>
      <c r="D25" s="8"/>
      <c r="E25" s="5"/>
    </row>
    <row r="26" spans="1:5" ht="25.5" customHeight="1" x14ac:dyDescent="0.3">
      <c r="A26" s="2" t="s">
        <v>35</v>
      </c>
      <c r="B26" s="8"/>
      <c r="C26" s="8"/>
      <c r="D26" s="8"/>
      <c r="E26" s="5"/>
    </row>
    <row r="27" spans="1:5" ht="24" customHeight="1" x14ac:dyDescent="0.3">
      <c r="A27" s="2" t="s">
        <v>27</v>
      </c>
      <c r="B27" s="8"/>
      <c r="C27" s="8"/>
      <c r="D27" s="8"/>
      <c r="E27" s="5"/>
    </row>
    <row r="28" spans="1:5" ht="26.25" customHeight="1" x14ac:dyDescent="0.3">
      <c r="A28" s="2" t="s">
        <v>28</v>
      </c>
      <c r="B28" s="8"/>
      <c r="C28" s="10"/>
      <c r="D28" s="8"/>
      <c r="E28" s="5"/>
    </row>
    <row r="29" spans="1:5" ht="30.75" customHeight="1" x14ac:dyDescent="0.3">
      <c r="A29" s="2" t="s">
        <v>29</v>
      </c>
      <c r="B29" s="8"/>
      <c r="C29" s="10"/>
      <c r="D29" s="8"/>
      <c r="E29" s="5"/>
    </row>
    <row r="30" spans="1:5" ht="28.5" customHeight="1" x14ac:dyDescent="0.3">
      <c r="A30" s="2" t="s">
        <v>30</v>
      </c>
      <c r="B30" s="8"/>
      <c r="C30" s="10"/>
      <c r="D30" s="8"/>
      <c r="E30" s="5"/>
    </row>
    <row r="31" spans="1:5" ht="24.75" customHeight="1" x14ac:dyDescent="0.3">
      <c r="A31" s="2" t="s">
        <v>31</v>
      </c>
      <c r="B31" s="8"/>
      <c r="C31" s="11"/>
      <c r="D31" s="8"/>
      <c r="E31" s="5"/>
    </row>
    <row r="32" spans="1:5" ht="23.25" customHeight="1" x14ac:dyDescent="0.3">
      <c r="A32" s="2" t="s">
        <v>32</v>
      </c>
      <c r="B32" s="8"/>
      <c r="C32" s="11"/>
      <c r="D32" s="8"/>
      <c r="E32" s="5"/>
    </row>
    <row r="33" spans="1:5" ht="27" customHeight="1" x14ac:dyDescent="0.3">
      <c r="A33" s="2" t="s">
        <v>33</v>
      </c>
      <c r="B33" s="8"/>
      <c r="C33" s="11"/>
      <c r="D33" s="8"/>
      <c r="E33" s="5"/>
    </row>
    <row r="34" spans="1:5" ht="32.25" customHeight="1" x14ac:dyDescent="0.3">
      <c r="A34" s="2" t="s">
        <v>34</v>
      </c>
      <c r="B34" s="11"/>
      <c r="C34" s="11"/>
      <c r="D34" s="9"/>
      <c r="E34" s="5"/>
    </row>
    <row r="35" spans="1:5" ht="32.25" customHeight="1" x14ac:dyDescent="0.3">
      <c r="A35" s="2" t="s">
        <v>53</v>
      </c>
      <c r="B35" s="10">
        <v>20000</v>
      </c>
      <c r="C35" s="11"/>
      <c r="D35" s="9"/>
      <c r="E35" s="5"/>
    </row>
    <row r="36" spans="1:5" ht="28.5" customHeight="1" thickBot="1" x14ac:dyDescent="0.35">
      <c r="A36" s="2" t="s">
        <v>13</v>
      </c>
      <c r="B36" s="11"/>
      <c r="C36" s="9"/>
      <c r="D36" s="9">
        <v>15000</v>
      </c>
      <c r="E36" s="5"/>
    </row>
    <row r="37" spans="1:5" ht="30" customHeight="1" thickBot="1" x14ac:dyDescent="0.35">
      <c r="A37" s="3" t="s">
        <v>14</v>
      </c>
      <c r="B37" s="12">
        <f>SUM(B15:B36)</f>
        <v>90000</v>
      </c>
      <c r="C37" s="13">
        <f>SUM(C15:C36)</f>
        <v>45000</v>
      </c>
      <c r="D37" s="12">
        <f>SUM(D15:D36)</f>
        <v>15000</v>
      </c>
      <c r="E37" s="5"/>
    </row>
    <row r="38" spans="1:5" ht="31.5" customHeight="1" thickBot="1" x14ac:dyDescent="0.35">
      <c r="A38" s="4" t="s">
        <v>15</v>
      </c>
      <c r="B38" s="42">
        <f>+B37+C37+D37</f>
        <v>150000</v>
      </c>
      <c r="C38" s="43"/>
      <c r="D38" s="14"/>
      <c r="E38" s="5"/>
    </row>
    <row r="39" spans="1:5" ht="18.75" x14ac:dyDescent="0.3">
      <c r="A39" s="5"/>
      <c r="B39" s="39"/>
      <c r="C39" s="39"/>
      <c r="D39" s="39"/>
      <c r="E39" s="5"/>
    </row>
    <row r="40" spans="1:5" ht="18.75" x14ac:dyDescent="0.25">
      <c r="A40" s="44" t="s">
        <v>16</v>
      </c>
      <c r="B40" s="44"/>
      <c r="C40" s="44"/>
      <c r="D40" s="44"/>
      <c r="E40" s="44"/>
    </row>
    <row r="41" spans="1:5" ht="30" customHeight="1" x14ac:dyDescent="0.3">
      <c r="A41" s="45"/>
      <c r="B41" s="45"/>
      <c r="C41" s="45"/>
      <c r="D41" s="45"/>
      <c r="E41" s="5"/>
    </row>
    <row r="42" spans="1:5" ht="18.75" x14ac:dyDescent="0.3">
      <c r="A42" s="44" t="s">
        <v>37</v>
      </c>
      <c r="B42" s="44"/>
      <c r="C42" s="44"/>
      <c r="D42" s="44"/>
      <c r="E42" s="5"/>
    </row>
    <row r="43" spans="1:5" ht="18.75" x14ac:dyDescent="0.3">
      <c r="A43" s="6" t="s">
        <v>17</v>
      </c>
      <c r="B43" s="5"/>
      <c r="C43" s="5"/>
      <c r="D43" s="5"/>
      <c r="E43" s="5"/>
    </row>
    <row r="44" spans="1:5" ht="34.5" customHeight="1" x14ac:dyDescent="0.3">
      <c r="A44" s="5"/>
      <c r="B44" s="41" t="s">
        <v>18</v>
      </c>
      <c r="C44" s="41"/>
      <c r="D44" s="41"/>
      <c r="E44" s="5"/>
    </row>
    <row r="45" spans="1:5" ht="38.25" customHeight="1" x14ac:dyDescent="0.3">
      <c r="A45" s="7" t="s">
        <v>19</v>
      </c>
      <c r="B45" s="7"/>
      <c r="C45" s="7"/>
      <c r="D45" s="7"/>
      <c r="E45" s="5"/>
    </row>
    <row r="46" spans="1:5" ht="18.75" x14ac:dyDescent="0.3">
      <c r="A46" s="39"/>
      <c r="B46" s="5"/>
      <c r="C46" s="5"/>
      <c r="D46" s="5"/>
      <c r="E46" s="5"/>
    </row>
    <row r="47" spans="1:5" ht="18.75" x14ac:dyDescent="0.3">
      <c r="A47" s="5"/>
      <c r="B47" s="5"/>
      <c r="C47" s="5"/>
      <c r="D47" s="5"/>
      <c r="E47" s="5"/>
    </row>
    <row r="48" spans="1:5" ht="18.75" x14ac:dyDescent="0.3">
      <c r="A48" s="5"/>
      <c r="B48" s="5"/>
      <c r="C48" s="5"/>
      <c r="D48" s="5"/>
      <c r="E48" s="5"/>
    </row>
    <row r="49" spans="1:5" ht="18.75" x14ac:dyDescent="0.3">
      <c r="A49" s="5"/>
      <c r="B49" s="5"/>
      <c r="C49" s="5"/>
      <c r="D49" s="5"/>
      <c r="E49" s="5"/>
    </row>
    <row r="50" spans="1:5" ht="18.75" x14ac:dyDescent="0.3">
      <c r="A50" s="5"/>
      <c r="B50" s="5"/>
      <c r="C50" s="5"/>
      <c r="D50" s="5"/>
      <c r="E50" s="5"/>
    </row>
    <row r="51" spans="1:5" ht="18.75" x14ac:dyDescent="0.3">
      <c r="A51" s="5"/>
      <c r="B51" s="5"/>
      <c r="C51" s="5"/>
      <c r="D51" s="5"/>
      <c r="E51" s="5"/>
    </row>
    <row r="52" spans="1:5" ht="18.75" x14ac:dyDescent="0.3">
      <c r="A52" s="5"/>
      <c r="B52" s="5"/>
      <c r="C52" s="5"/>
      <c r="D52" s="5"/>
      <c r="E52" s="5"/>
    </row>
    <row r="53" spans="1:5" ht="18.75" x14ac:dyDescent="0.3">
      <c r="A53" s="5"/>
      <c r="B53" s="5"/>
      <c r="C53" s="5"/>
      <c r="D53" s="5"/>
      <c r="E53" s="5"/>
    </row>
    <row r="59" spans="1:5" ht="29.25" customHeight="1" x14ac:dyDescent="0.25"/>
    <row r="73" ht="30" customHeight="1" x14ac:dyDescent="0.25"/>
  </sheetData>
  <mergeCells count="11">
    <mergeCell ref="A1:B1"/>
    <mergeCell ref="A4:B4"/>
    <mergeCell ref="A6:B6"/>
    <mergeCell ref="A7:C7"/>
    <mergeCell ref="B8:D9"/>
    <mergeCell ref="B44:D44"/>
    <mergeCell ref="A10:D10"/>
    <mergeCell ref="B38:C38"/>
    <mergeCell ref="A40:E40"/>
    <mergeCell ref="A41:D41"/>
    <mergeCell ref="A42:D42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D81A-BEED-444D-9AEB-ADE5E505C342}">
  <dimension ref="A2:E12"/>
  <sheetViews>
    <sheetView workbookViewId="0">
      <selection activeCell="G8" sqref="G8"/>
    </sheetView>
  </sheetViews>
  <sheetFormatPr baseColWidth="10" defaultRowHeight="18.75" x14ac:dyDescent="0.25"/>
  <cols>
    <col min="2" max="2" width="45" style="16" customWidth="1"/>
    <col min="3" max="3" width="26.28515625" style="16" customWidth="1"/>
    <col min="4" max="4" width="26.28515625" style="17" customWidth="1"/>
    <col min="5" max="5" width="17.140625" bestFit="1" customWidth="1"/>
  </cols>
  <sheetData>
    <row r="2" spans="1:5" ht="21" x14ac:dyDescent="0.25">
      <c r="B2" s="38" t="s">
        <v>48</v>
      </c>
    </row>
    <row r="3" spans="1:5" ht="19.5" thickBot="1" x14ac:dyDescent="0.3"/>
    <row r="4" spans="1:5" s="20" customFormat="1" ht="32.25" customHeight="1" thickBot="1" x14ac:dyDescent="0.3">
      <c r="B4" s="27" t="s">
        <v>45</v>
      </c>
      <c r="C4" s="28" t="s">
        <v>43</v>
      </c>
      <c r="D4" s="29" t="s">
        <v>42</v>
      </c>
    </row>
    <row r="5" spans="1:5" ht="34.5" customHeight="1" x14ac:dyDescent="0.25">
      <c r="A5" s="15"/>
      <c r="B5" s="24" t="s">
        <v>38</v>
      </c>
      <c r="C5" s="25">
        <v>10000</v>
      </c>
      <c r="D5" s="26">
        <v>10000</v>
      </c>
    </row>
    <row r="6" spans="1:5" ht="33.75" customHeight="1" x14ac:dyDescent="0.25">
      <c r="B6" s="21" t="s">
        <v>39</v>
      </c>
      <c r="C6" s="23">
        <v>5000</v>
      </c>
      <c r="D6" s="22">
        <v>20000</v>
      </c>
    </row>
    <row r="7" spans="1:5" ht="27.75" customHeight="1" x14ac:dyDescent="0.25">
      <c r="B7" s="21" t="s">
        <v>46</v>
      </c>
      <c r="C7" s="30">
        <f>22500*2</f>
        <v>45000</v>
      </c>
      <c r="D7" s="31">
        <v>120000</v>
      </c>
    </row>
    <row r="8" spans="1:5" ht="32.25" customHeight="1" x14ac:dyDescent="0.25">
      <c r="B8" s="21" t="s">
        <v>40</v>
      </c>
      <c r="C8" s="23">
        <v>30000</v>
      </c>
      <c r="D8" s="22">
        <v>0</v>
      </c>
    </row>
    <row r="9" spans="1:5" ht="28.5" customHeight="1" x14ac:dyDescent="0.25">
      <c r="B9" s="21" t="s">
        <v>41</v>
      </c>
      <c r="C9" s="30">
        <v>72000</v>
      </c>
      <c r="D9" s="31">
        <v>36000</v>
      </c>
    </row>
    <row r="10" spans="1:5" ht="36" customHeight="1" thickBot="1" x14ac:dyDescent="0.3">
      <c r="B10" s="32" t="s">
        <v>44</v>
      </c>
      <c r="C10" s="36">
        <f>SUM(C5:C9)</f>
        <v>162000</v>
      </c>
      <c r="D10" s="37">
        <f>SUM(D5:D9)</f>
        <v>186000</v>
      </c>
      <c r="E10" s="33"/>
    </row>
    <row r="11" spans="1:5" ht="19.5" thickBot="1" x14ac:dyDescent="0.3">
      <c r="C11" s="18"/>
      <c r="D11" s="19"/>
    </row>
    <row r="12" spans="1:5" ht="24" thickBot="1" x14ac:dyDescent="0.3">
      <c r="B12" s="34" t="s">
        <v>47</v>
      </c>
      <c r="C12" s="35">
        <f>C10+D10</f>
        <v>348000</v>
      </c>
    </row>
  </sheetData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Clerc-02</dc:creator>
  <cp:lastModifiedBy>Comptabilité-01</cp:lastModifiedBy>
  <cp:lastPrinted>2024-01-31T14:14:01Z</cp:lastPrinted>
  <dcterms:created xsi:type="dcterms:W3CDTF">2022-10-20T11:23:55Z</dcterms:created>
  <dcterms:modified xsi:type="dcterms:W3CDTF">2024-08-09T17:52:09Z</dcterms:modified>
</cp:coreProperties>
</file>