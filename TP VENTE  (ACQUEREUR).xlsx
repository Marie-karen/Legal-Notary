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ad\profils$\compta1\Desktop\"/>
    </mc:Choice>
  </mc:AlternateContent>
  <xr:revisionPtr revIDLastSave="0" documentId="8_{0250FC6A-7955-4797-92B5-12DB532141DD}" xr6:coauthVersionLast="47" xr6:coauthVersionMax="47" xr10:uidLastSave="{00000000-0000-0000-0000-000000000000}"/>
  <bookViews>
    <workbookView xWindow="-120" yWindow="-120" windowWidth="24240" windowHeight="13140" xr2:uid="{9DE289DF-93E1-4053-B2E8-E93AE6CBE2CC}"/>
  </bookViews>
  <sheets>
    <sheet name="TP V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3" l="1"/>
  <c r="C25" i="3"/>
  <c r="B33" i="3"/>
  <c r="B47" i="3" l="1"/>
  <c r="C22" i="3"/>
  <c r="C47" i="3" s="1"/>
  <c r="B48" i="3" l="1"/>
</calcChain>
</file>

<file path=xl/sharedStrings.xml><?xml version="1.0" encoding="utf-8"?>
<sst xmlns="http://schemas.openxmlformats.org/spreadsheetml/2006/main" count="52" uniqueCount="51">
  <si>
    <t xml:space="preserve">ETUDE DE MAÎTRE KOFFI-ABOUT A. MIREILLE   </t>
  </si>
  <si>
    <t>NOTAIRE</t>
  </si>
  <si>
    <t>01 BP 2341 ABIDJAN 01</t>
  </si>
  <si>
    <t>Tél. : 27 20 22 67 52 /07 08 36 99 46</t>
  </si>
  <si>
    <t xml:space="preserve">Fax : 27 20 32 96 87  </t>
  </si>
  <si>
    <t xml:space="preserve">Régime d’imposition : T E E  </t>
  </si>
  <si>
    <t xml:space="preserve">N°CC : 05 36 640 L                                                               </t>
  </si>
  <si>
    <t xml:space="preserve">            </t>
  </si>
  <si>
    <t>PRIX DE VENTE:</t>
  </si>
  <si>
    <t>BASE DE CALCUL :</t>
  </si>
  <si>
    <t>RUBRIQUES</t>
  </si>
  <si>
    <t>EMOLUMENTS</t>
  </si>
  <si>
    <t>TRESOR</t>
  </si>
  <si>
    <t>DEBOURS</t>
  </si>
  <si>
    <t>TOTAL A PAYER</t>
  </si>
  <si>
    <t>Sauf à parfaire ou à diminuer, veuillez arrêter la présente taxe prévisionnelle à la somme de:</t>
  </si>
  <si>
    <t>Me KOFFI-ABOUT AKOUA Mireille</t>
  </si>
  <si>
    <t>NB: LA PRESENTE TAXE DOIT INTEGRALEMENT ETRE REGLEE AVANT LA SIGNATURE DE L'ACTE.</t>
  </si>
  <si>
    <t>Bordereau d'enregistrement</t>
  </si>
  <si>
    <t>ENREGISTREMENT</t>
  </si>
  <si>
    <t>CONSERVATION FONCIERE</t>
  </si>
  <si>
    <t>CADASTRE</t>
  </si>
  <si>
    <t>Taxe foncière (PV x 1,2%+3000)</t>
  </si>
  <si>
    <t>DT,Morcellement + Frais annexes</t>
  </si>
  <si>
    <t>2- Emoluments de formalités</t>
  </si>
  <si>
    <t>* Emoluments forfaitaire(demande d'extrait topographique)</t>
  </si>
  <si>
    <t>Droit d'enregistrement 4% (Droit proportionnel)</t>
  </si>
  <si>
    <t xml:space="preserve">              </t>
  </si>
  <si>
    <t>Timbres fiscaux (Minutes)</t>
  </si>
  <si>
    <t>Timbres fiscaux (Expéditions)</t>
  </si>
  <si>
    <t>TIMBRES FISCAUX</t>
  </si>
  <si>
    <t>1- Emoluments proportionnels (1%+400000)</t>
  </si>
  <si>
    <t>Etat foncier (02)</t>
  </si>
  <si>
    <t>Demande d'extraits Topographiques (01)</t>
  </si>
  <si>
    <t>* Emoluments d'inscription au livre Foncier (01)</t>
  </si>
  <si>
    <t>*Emolument réquisitions foncières (01)</t>
  </si>
  <si>
    <t xml:space="preserve">* Emolument art 135 </t>
  </si>
  <si>
    <t>Certificat de mutation foncière (01)</t>
  </si>
  <si>
    <t>Demande de situation fiscale (01)</t>
  </si>
  <si>
    <t>3-Emoluments de rôles (01)</t>
  </si>
  <si>
    <t>*Emoluments de bordereau d'enregistrement</t>
  </si>
  <si>
    <t>*Emoluments sur demande d'états fonciers</t>
  </si>
  <si>
    <t>*Emolument sur demande d'attestation de situation fiscale</t>
  </si>
  <si>
    <r>
      <t>En cas de règlement par chèque, merci de le libeller au nom de:</t>
    </r>
    <r>
      <rPr>
        <b/>
        <sz val="14"/>
        <color rgb="FF000000"/>
        <rFont val="Calibri"/>
        <family val="2"/>
        <scheme val="minor"/>
      </rPr>
      <t xml:space="preserve"> ETUDE DE Me KOFFI-ABOUT AKOUA MIREILLE</t>
    </r>
  </si>
  <si>
    <t xml:space="preserve">Abidjan le </t>
  </si>
  <si>
    <r>
      <rPr>
        <b/>
        <u/>
        <sz val="14"/>
        <color rgb="FF000000"/>
        <rFont val="Calibri"/>
        <family val="2"/>
        <scheme val="minor"/>
      </rPr>
      <t>AFFAIRE</t>
    </r>
    <r>
      <rPr>
        <b/>
        <sz val="14"/>
        <color rgb="FF000000"/>
        <rFont val="Calibri"/>
        <family val="2"/>
        <scheme val="minor"/>
      </rPr>
      <t xml:space="preserve">: VENTE PAR </t>
    </r>
  </si>
  <si>
    <t xml:space="preserve">SUPERFICIE: </t>
  </si>
  <si>
    <t xml:space="preserve">Débours divers </t>
  </si>
  <si>
    <t>* Frais de transport aller/retour</t>
  </si>
  <si>
    <t>* Frais de déplacement et de séjour</t>
  </si>
  <si>
    <t>*Vacation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</si>
</sst>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43" fontId="0" fillId="0" borderId="0" xfId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3"/>
    </xf>
    <xf numFmtId="0" fontId="2" fillId="0" borderId="0" xfId="0" applyFont="1"/>
    <xf numFmtId="0" fontId="0" fillId="2" borderId="0" xfId="0" applyFill="1"/>
    <xf numFmtId="43" fontId="0" fillId="2" borderId="0" xfId="1" applyFont="1" applyFill="1"/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vertical="center"/>
    </xf>
    <xf numFmtId="164" fontId="9" fillId="2" borderId="4" xfId="1" applyNumberFormat="1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3" fontId="10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3" fontId="10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43" fontId="8" fillId="0" borderId="0" xfId="1" applyFont="1" applyAlignment="1">
      <alignment horizontal="center"/>
    </xf>
    <xf numFmtId="164" fontId="9" fillId="0" borderId="4" xfId="1" applyNumberFormat="1" applyFont="1" applyBorder="1" applyAlignment="1">
      <alignment horizontal="right" vertical="center"/>
    </xf>
    <xf numFmtId="0" fontId="8" fillId="0" borderId="7" xfId="0" applyFont="1" applyBorder="1"/>
    <xf numFmtId="0" fontId="11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11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3" fontId="10" fillId="0" borderId="5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 applyAlignment="1">
      <alignment vertical="center" wrapText="1"/>
    </xf>
    <xf numFmtId="0" fontId="9" fillId="2" borderId="0" xfId="0" applyFont="1" applyFill="1" applyBorder="1" applyAlignment="1">
      <alignment vertical="center"/>
    </xf>
    <xf numFmtId="0" fontId="8" fillId="0" borderId="0" xfId="0" applyFont="1" applyAlignment="1">
      <alignment horizontal="right"/>
    </xf>
    <xf numFmtId="0" fontId="10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10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3" fontId="9" fillId="0" borderId="4" xfId="0" applyNumberFormat="1" applyFont="1" applyBorder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323851</xdr:colOff>
      <xdr:row>1</xdr:row>
      <xdr:rowOff>85726</xdr:rowOff>
    </xdr:from>
    <xdr:to>
      <xdr:col>3</xdr:col>
      <xdr:colOff>781051</xdr:colOff>
      <xdr:row>6</xdr:row>
      <xdr:rowOff>171451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E7D372CE-5524-4B4C-A7BD-B2176DCD0355}"/>
            </a:ext>
          </a:extLst>
        </xdr:cNvPr>
        <xdr:cNvSpPr>
          <a:spLocks noChangeArrowheads="1"/>
        </xdr:cNvSpPr>
      </xdr:nvSpPr>
      <xdr:spPr bwMode="auto">
        <a:xfrm>
          <a:off x="4762501" y="323851"/>
          <a:ext cx="3829050" cy="1276350"/>
        </a:xfrm>
        <a:prstGeom prst="roundRect">
          <a:avLst>
            <a:gd name="adj" fmla="val 16667"/>
          </a:avLst>
        </a:prstGeom>
        <a:solidFill>
          <a:srgbClr val="FFFFFF"/>
        </a:solidFill>
        <a:ln w="57150" cmpd="thickThin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Calibri"/>
            </a:rPr>
            <a:t>                    </a:t>
          </a:r>
          <a:r>
            <a:rPr lang="fr-FR" sz="2400" b="1" i="0" u="sng" strike="noStrike" baseline="0">
              <a:solidFill>
                <a:srgbClr val="000000"/>
              </a:solidFill>
              <a:latin typeface="Calibri"/>
            </a:rPr>
            <a:t>ACQUEREUR:</a:t>
          </a:r>
        </a:p>
        <a:p>
          <a:pPr algn="l" rtl="0">
            <a:defRPr sz="1000"/>
          </a:pPr>
          <a:endParaRPr lang="fr-FR" sz="1200" b="1" i="0" u="sng" strike="noStrike" baseline="0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fr-FR" sz="2800" b="1" i="0" u="none" strike="noStrike" baseline="0">
              <a:solidFill>
                <a:srgbClr val="000000"/>
              </a:solidFill>
              <a:latin typeface="Calibri"/>
            </a:rPr>
            <a:t> </a:t>
          </a:r>
          <a:endParaRPr lang="fr-FR" sz="28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Calibri"/>
            </a:rPr>
            <a:t>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231B-6913-4F97-BE03-A99F3A8C8C89}">
  <dimension ref="A1:H57"/>
  <sheetViews>
    <sheetView tabSelected="1" workbookViewId="0">
      <selection activeCell="G46" sqref="G46"/>
    </sheetView>
  </sheetViews>
  <sheetFormatPr baseColWidth="10" defaultRowHeight="15" x14ac:dyDescent="0.25"/>
  <cols>
    <col min="1" max="1" width="66.5703125" customWidth="1"/>
    <col min="2" max="2" width="28.140625" customWidth="1"/>
    <col min="3" max="3" width="22.42578125" customWidth="1"/>
    <col min="4" max="4" width="25.5703125" style="69" customWidth="1"/>
    <col min="7" max="8" width="12.85546875" style="3" bestFit="1" customWidth="1"/>
  </cols>
  <sheetData>
    <row r="1" spans="1:5" ht="18.75" x14ac:dyDescent="0.3">
      <c r="A1" s="50" t="s">
        <v>0</v>
      </c>
      <c r="B1" s="50"/>
      <c r="C1" s="16"/>
      <c r="D1" s="55"/>
    </row>
    <row r="2" spans="1:5" ht="18.75" x14ac:dyDescent="0.3">
      <c r="A2" s="15" t="s">
        <v>1</v>
      </c>
      <c r="B2" s="13"/>
      <c r="C2" s="24"/>
      <c r="D2" s="55"/>
    </row>
    <row r="3" spans="1:5" ht="18.75" x14ac:dyDescent="0.3">
      <c r="A3" s="14" t="s">
        <v>2</v>
      </c>
      <c r="B3" s="13"/>
      <c r="C3" s="16"/>
      <c r="D3" s="55"/>
    </row>
    <row r="4" spans="1:5" ht="18.75" x14ac:dyDescent="0.3">
      <c r="A4" s="51" t="s">
        <v>3</v>
      </c>
      <c r="B4" s="51"/>
      <c r="C4" s="16"/>
      <c r="D4" s="55"/>
    </row>
    <row r="5" spans="1:5" ht="18.75" x14ac:dyDescent="0.3">
      <c r="A5" s="14" t="s">
        <v>4</v>
      </c>
      <c r="B5" s="13"/>
      <c r="C5" s="16"/>
      <c r="D5" s="55"/>
    </row>
    <row r="6" spans="1:5" ht="18.75" x14ac:dyDescent="0.3">
      <c r="A6" s="51" t="s">
        <v>5</v>
      </c>
      <c r="B6" s="51"/>
      <c r="C6" s="16"/>
      <c r="D6" s="55"/>
    </row>
    <row r="7" spans="1:5" ht="18.75" x14ac:dyDescent="0.3">
      <c r="A7" s="51" t="s">
        <v>6</v>
      </c>
      <c r="B7" s="51"/>
      <c r="C7" s="51"/>
      <c r="D7" s="55"/>
    </row>
    <row r="8" spans="1:5" ht="18.75" x14ac:dyDescent="0.3">
      <c r="A8" s="13"/>
      <c r="B8" s="52"/>
      <c r="C8" s="52"/>
      <c r="D8" s="52"/>
    </row>
    <row r="9" spans="1:5" ht="23.25" x14ac:dyDescent="0.25">
      <c r="A9" s="14" t="s">
        <v>44</v>
      </c>
      <c r="B9" s="52"/>
      <c r="C9" s="52"/>
      <c r="D9" s="52"/>
      <c r="E9" s="5" t="s">
        <v>7</v>
      </c>
    </row>
    <row r="10" spans="1:5" ht="23.25" x14ac:dyDescent="0.3">
      <c r="A10" s="14"/>
      <c r="B10" s="13"/>
      <c r="C10" s="13"/>
      <c r="D10" s="55"/>
      <c r="E10" s="5"/>
    </row>
    <row r="11" spans="1:5" ht="23.25" x14ac:dyDescent="0.25">
      <c r="A11" s="53" t="s">
        <v>45</v>
      </c>
      <c r="B11" s="53"/>
      <c r="C11" s="53"/>
      <c r="D11" s="53"/>
      <c r="E11" s="5"/>
    </row>
    <row r="12" spans="1:5" ht="12" customHeight="1" x14ac:dyDescent="0.25">
      <c r="A12" s="23"/>
      <c r="B12" s="23"/>
      <c r="C12" s="23"/>
      <c r="D12" s="56"/>
      <c r="E12" s="5"/>
    </row>
    <row r="13" spans="1:5" ht="18.75" x14ac:dyDescent="0.3">
      <c r="A13" s="15" t="s">
        <v>8</v>
      </c>
      <c r="B13" s="25">
        <v>35000000</v>
      </c>
      <c r="C13" s="16"/>
      <c r="D13" s="55"/>
    </row>
    <row r="14" spans="1:5" ht="18.75" x14ac:dyDescent="0.3">
      <c r="A14" s="15" t="s">
        <v>9</v>
      </c>
      <c r="B14" s="25">
        <v>35000000</v>
      </c>
      <c r="C14" s="16"/>
      <c r="D14" s="55"/>
    </row>
    <row r="15" spans="1:5" ht="18.75" x14ac:dyDescent="0.3">
      <c r="A15" s="15" t="s">
        <v>46</v>
      </c>
      <c r="B15" s="13"/>
      <c r="C15" s="16"/>
      <c r="D15" s="55"/>
    </row>
    <row r="16" spans="1:5" ht="16.5" thickBot="1" x14ac:dyDescent="0.3">
      <c r="A16" s="11" t="s">
        <v>27</v>
      </c>
      <c r="B16" s="11"/>
      <c r="C16" s="10"/>
      <c r="D16" s="57"/>
    </row>
    <row r="17" spans="1:8" s="16" customFormat="1" ht="29.25" customHeight="1" thickBot="1" x14ac:dyDescent="0.35">
      <c r="A17" s="29" t="s">
        <v>10</v>
      </c>
      <c r="B17" s="26" t="s">
        <v>11</v>
      </c>
      <c r="C17" s="26" t="s">
        <v>12</v>
      </c>
      <c r="D17" s="58" t="s">
        <v>13</v>
      </c>
      <c r="E17" s="30"/>
      <c r="G17" s="31"/>
      <c r="H17" s="31"/>
    </row>
    <row r="18" spans="1:8" ht="18.75" x14ac:dyDescent="0.25">
      <c r="A18" s="34" t="s">
        <v>30</v>
      </c>
      <c r="B18" s="41"/>
      <c r="C18" s="27"/>
      <c r="D18" s="59"/>
      <c r="E18" s="6"/>
    </row>
    <row r="19" spans="1:8" ht="18.75" x14ac:dyDescent="0.25">
      <c r="A19" s="35" t="s">
        <v>28</v>
      </c>
      <c r="B19" s="42"/>
      <c r="C19" s="32">
        <v>10000</v>
      </c>
      <c r="D19" s="59"/>
      <c r="E19" s="6"/>
    </row>
    <row r="20" spans="1:8" ht="41.25" customHeight="1" x14ac:dyDescent="0.25">
      <c r="A20" s="35" t="s">
        <v>29</v>
      </c>
      <c r="B20" s="19"/>
      <c r="C20" s="18">
        <v>30000</v>
      </c>
      <c r="D20" s="60"/>
    </row>
    <row r="21" spans="1:8" ht="25.5" customHeight="1" x14ac:dyDescent="0.25">
      <c r="A21" s="36" t="s">
        <v>19</v>
      </c>
      <c r="B21" s="19"/>
      <c r="C21" s="18"/>
      <c r="D21" s="60"/>
    </row>
    <row r="22" spans="1:8" ht="38.25" customHeight="1" x14ac:dyDescent="0.25">
      <c r="A22" s="37" t="s">
        <v>26</v>
      </c>
      <c r="B22" s="43"/>
      <c r="C22" s="18">
        <f>B14*4%</f>
        <v>1400000</v>
      </c>
      <c r="D22" s="60"/>
    </row>
    <row r="23" spans="1:8" s="7" customFormat="1" ht="25.5" customHeight="1" x14ac:dyDescent="0.25">
      <c r="A23" s="38" t="s">
        <v>18</v>
      </c>
      <c r="B23" s="43"/>
      <c r="C23" s="18">
        <v>500</v>
      </c>
      <c r="D23" s="61"/>
      <c r="G23" s="8"/>
      <c r="H23" s="8"/>
    </row>
    <row r="24" spans="1:8" s="7" customFormat="1" ht="36.75" customHeight="1" x14ac:dyDescent="0.25">
      <c r="A24" s="39" t="s">
        <v>20</v>
      </c>
      <c r="B24" s="43"/>
      <c r="C24" s="18"/>
      <c r="D24" s="61"/>
      <c r="G24" s="8"/>
      <c r="H24" s="8"/>
    </row>
    <row r="25" spans="1:8" ht="33.75" customHeight="1" x14ac:dyDescent="0.25">
      <c r="A25" s="37" t="s">
        <v>22</v>
      </c>
      <c r="B25" s="43"/>
      <c r="C25" s="18">
        <f>B13*1.2%+3000</f>
        <v>423000</v>
      </c>
      <c r="D25" s="60"/>
    </row>
    <row r="26" spans="1:8" ht="33.75" customHeight="1" x14ac:dyDescent="0.25">
      <c r="A26" s="37" t="s">
        <v>32</v>
      </c>
      <c r="B26" s="44"/>
      <c r="C26" s="18">
        <v>6000</v>
      </c>
      <c r="D26" s="60"/>
    </row>
    <row r="27" spans="1:8" ht="30" customHeight="1" x14ac:dyDescent="0.25">
      <c r="A27" s="37" t="s">
        <v>38</v>
      </c>
      <c r="B27" s="43"/>
      <c r="C27" s="18"/>
      <c r="D27" s="60"/>
    </row>
    <row r="28" spans="1:8" ht="33" customHeight="1" x14ac:dyDescent="0.25">
      <c r="A28" s="37" t="s">
        <v>37</v>
      </c>
      <c r="B28" s="43"/>
      <c r="C28" s="18">
        <v>15000</v>
      </c>
      <c r="D28" s="60"/>
    </row>
    <row r="29" spans="1:8" ht="29.25" customHeight="1" x14ac:dyDescent="0.25">
      <c r="A29" s="34" t="s">
        <v>21</v>
      </c>
      <c r="B29" s="43"/>
      <c r="C29" s="18"/>
      <c r="D29" s="60"/>
    </row>
    <row r="30" spans="1:8" ht="27" customHeight="1" x14ac:dyDescent="0.25">
      <c r="A30" s="37" t="s">
        <v>33</v>
      </c>
      <c r="B30" s="43"/>
      <c r="C30" s="18">
        <v>17000</v>
      </c>
      <c r="D30" s="60"/>
    </row>
    <row r="31" spans="1:8" ht="20.25" customHeight="1" x14ac:dyDescent="0.25">
      <c r="A31" s="37" t="s">
        <v>23</v>
      </c>
      <c r="B31" s="43"/>
      <c r="C31" s="18"/>
      <c r="D31" s="60">
        <v>150000</v>
      </c>
    </row>
    <row r="32" spans="1:8" ht="21" customHeight="1" x14ac:dyDescent="0.25">
      <c r="A32" s="34" t="s">
        <v>11</v>
      </c>
      <c r="B32" s="43"/>
      <c r="C32" s="18"/>
      <c r="D32" s="60"/>
    </row>
    <row r="33" spans="1:4" ht="29.25" customHeight="1" x14ac:dyDescent="0.25">
      <c r="A33" s="37" t="s">
        <v>31</v>
      </c>
      <c r="B33" s="43">
        <f>(B13*1%+400000)</f>
        <v>750000</v>
      </c>
      <c r="C33" s="18"/>
      <c r="D33" s="60"/>
    </row>
    <row r="34" spans="1:4" ht="26.25" customHeight="1" x14ac:dyDescent="0.25">
      <c r="A34" s="38" t="s">
        <v>24</v>
      </c>
      <c r="B34" s="43"/>
      <c r="C34" s="18"/>
      <c r="D34" s="62"/>
    </row>
    <row r="35" spans="1:4" ht="24.75" customHeight="1" x14ac:dyDescent="0.25">
      <c r="A35" s="38" t="s">
        <v>34</v>
      </c>
      <c r="B35" s="43">
        <v>75000</v>
      </c>
      <c r="C35" s="18"/>
      <c r="D35" s="62"/>
    </row>
    <row r="36" spans="1:4" ht="36" customHeight="1" x14ac:dyDescent="0.25">
      <c r="A36" s="40" t="s">
        <v>25</v>
      </c>
      <c r="B36" s="43">
        <v>15000</v>
      </c>
      <c r="C36" s="18"/>
      <c r="D36" s="62"/>
    </row>
    <row r="37" spans="1:4" ht="24.75" customHeight="1" x14ac:dyDescent="0.25">
      <c r="A37" s="40" t="s">
        <v>35</v>
      </c>
      <c r="B37" s="44">
        <v>10000</v>
      </c>
      <c r="C37" s="18"/>
      <c r="D37" s="62"/>
    </row>
    <row r="38" spans="1:4" ht="36" customHeight="1" x14ac:dyDescent="0.25">
      <c r="A38" s="40" t="s">
        <v>40</v>
      </c>
      <c r="B38" s="44">
        <v>1000</v>
      </c>
      <c r="C38" s="18"/>
      <c r="D38" s="62"/>
    </row>
    <row r="39" spans="1:4" ht="25.5" customHeight="1" x14ac:dyDescent="0.25">
      <c r="A39" s="40" t="s">
        <v>41</v>
      </c>
      <c r="B39" s="44">
        <v>30000</v>
      </c>
      <c r="C39" s="18"/>
      <c r="D39" s="62"/>
    </row>
    <row r="40" spans="1:4" ht="22.5" customHeight="1" x14ac:dyDescent="0.25">
      <c r="A40" s="38" t="s">
        <v>42</v>
      </c>
      <c r="B40" s="44">
        <v>15000</v>
      </c>
      <c r="C40" s="18"/>
      <c r="D40" s="62"/>
    </row>
    <row r="41" spans="1:4" ht="25.5" customHeight="1" x14ac:dyDescent="0.25">
      <c r="A41" s="38" t="s">
        <v>36</v>
      </c>
      <c r="B41" s="43"/>
      <c r="C41" s="18"/>
      <c r="D41" s="62">
        <v>20000</v>
      </c>
    </row>
    <row r="42" spans="1:4" ht="25.5" customHeight="1" x14ac:dyDescent="0.25">
      <c r="A42" s="38" t="s">
        <v>39</v>
      </c>
      <c r="B42" s="43">
        <v>40000</v>
      </c>
      <c r="C42" s="18"/>
      <c r="D42" s="62"/>
    </row>
    <row r="43" spans="1:4" ht="25.5" customHeight="1" x14ac:dyDescent="0.25">
      <c r="A43" s="54" t="s">
        <v>50</v>
      </c>
      <c r="B43" s="43">
        <v>200000</v>
      </c>
      <c r="C43" s="18"/>
      <c r="D43" s="62"/>
    </row>
    <row r="44" spans="1:4" ht="25.5" customHeight="1" x14ac:dyDescent="0.3">
      <c r="A44" s="33" t="s">
        <v>48</v>
      </c>
      <c r="B44" s="43">
        <v>81000</v>
      </c>
      <c r="C44" s="18"/>
      <c r="D44" s="62"/>
    </row>
    <row r="45" spans="1:4" ht="25.5" customHeight="1" x14ac:dyDescent="0.3">
      <c r="A45" s="13" t="s">
        <v>49</v>
      </c>
      <c r="B45" s="43">
        <v>40000</v>
      </c>
      <c r="C45" s="18"/>
      <c r="D45" s="62"/>
    </row>
    <row r="46" spans="1:4" ht="30" customHeight="1" thickBot="1" x14ac:dyDescent="0.3">
      <c r="A46" s="37" t="s">
        <v>47</v>
      </c>
      <c r="B46" s="45"/>
      <c r="C46" s="18"/>
      <c r="D46" s="62">
        <v>200000</v>
      </c>
    </row>
    <row r="47" spans="1:4" ht="26.25" customHeight="1" thickBot="1" x14ac:dyDescent="0.3">
      <c r="A47" s="17" t="s">
        <v>14</v>
      </c>
      <c r="B47" s="20">
        <f>SUM(B22:B46)</f>
        <v>1257000</v>
      </c>
      <c r="C47" s="20">
        <f>SUM(C19:C46)</f>
        <v>1901500</v>
      </c>
      <c r="D47" s="63">
        <f>D46+D31+D41</f>
        <v>370000</v>
      </c>
    </row>
    <row r="48" spans="1:4" ht="28.5" customHeight="1" thickBot="1" x14ac:dyDescent="0.35">
      <c r="A48" s="13"/>
      <c r="B48" s="48">
        <f>B47+C47+D47</f>
        <v>3528500</v>
      </c>
      <c r="C48" s="49"/>
      <c r="D48" s="64"/>
    </row>
    <row r="49" spans="1:5" ht="18.75" x14ac:dyDescent="0.25">
      <c r="A49" s="14" t="s">
        <v>15</v>
      </c>
      <c r="B49" s="21"/>
      <c r="C49" s="22"/>
      <c r="D49" s="65"/>
    </row>
    <row r="50" spans="1:5" ht="30" customHeight="1" x14ac:dyDescent="0.25">
      <c r="A50" s="47"/>
      <c r="B50" s="47"/>
      <c r="C50" s="14"/>
      <c r="D50" s="66"/>
    </row>
    <row r="51" spans="1:5" s="14" customFormat="1" ht="30" customHeight="1" x14ac:dyDescent="0.25">
      <c r="A51" s="14" t="s">
        <v>43</v>
      </c>
      <c r="D51" s="66"/>
    </row>
    <row r="52" spans="1:5" ht="18.75" x14ac:dyDescent="0.3">
      <c r="A52" s="13"/>
      <c r="B52" s="13"/>
      <c r="C52" s="46" t="s">
        <v>16</v>
      </c>
      <c r="D52" s="46"/>
      <c r="E52" s="4"/>
    </row>
    <row r="53" spans="1:5" ht="18.75" x14ac:dyDescent="0.3">
      <c r="A53" s="13"/>
      <c r="B53" s="13"/>
      <c r="C53" s="28"/>
      <c r="D53" s="67"/>
      <c r="E53" s="4"/>
    </row>
    <row r="54" spans="1:5" ht="18.75" x14ac:dyDescent="0.3">
      <c r="A54" s="15" t="s">
        <v>17</v>
      </c>
      <c r="B54" s="13"/>
      <c r="C54" s="28"/>
      <c r="D54" s="67"/>
    </row>
    <row r="55" spans="1:5" ht="15.75" x14ac:dyDescent="0.25">
      <c r="A55" s="1"/>
      <c r="B55" s="11"/>
      <c r="C55" s="12"/>
      <c r="D55" s="68"/>
    </row>
    <row r="56" spans="1:5" ht="15.75" x14ac:dyDescent="0.25">
      <c r="A56" s="1"/>
      <c r="B56" s="11"/>
      <c r="C56" s="12"/>
      <c r="D56" s="68"/>
    </row>
    <row r="57" spans="1:5" x14ac:dyDescent="0.25">
      <c r="A57" s="9"/>
      <c r="C57" s="2"/>
    </row>
  </sheetData>
  <mergeCells count="9">
    <mergeCell ref="C52:D52"/>
    <mergeCell ref="A50:B50"/>
    <mergeCell ref="B48:C48"/>
    <mergeCell ref="A1:B1"/>
    <mergeCell ref="A4:B4"/>
    <mergeCell ref="A6:B6"/>
    <mergeCell ref="A7:C7"/>
    <mergeCell ref="B8:D9"/>
    <mergeCell ref="A11:D11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TP VTE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Comptabilité-01</dc:creator>
  <cp:lastModifiedBy>Office</cp:lastModifiedBy>
  <cp:lastPrinted>2024-08-09T16:54:24Z</cp:lastPrinted>
  <dcterms:created xsi:type="dcterms:W3CDTF">2023-03-22T10:11:17Z</dcterms:created>
  <dcterms:modified xsi:type="dcterms:W3CDTF">2026-08-28T15:53:17Z</dcterms:modified>
</cp:coreProperties>
</file>