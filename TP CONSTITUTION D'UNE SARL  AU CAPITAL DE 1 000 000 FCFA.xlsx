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34ADA2A7-E465-498F-BE6C-14B4103F78F5}" xr6:coauthVersionLast="47" xr6:coauthVersionMax="47" xr10:uidLastSave="{00000000-0000-0000-0000-000000000000}"/>
  <bookViews>
    <workbookView xWindow="-120" yWindow="-120" windowWidth="24240" windowHeight="13140" xr2:uid="{755983F6-5EA2-4573-857A-78FF1655C309}"/>
  </bookViews>
  <sheets>
    <sheet name="taxe (2)" sheetId="4" r:id="rId1"/>
    <sheet name="Feuil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4" l="1"/>
  <c r="B44" i="4"/>
  <c r="D30" i="4"/>
  <c r="C30" i="4"/>
  <c r="B30" i="4"/>
  <c r="D61" i="4"/>
  <c r="C61" i="4"/>
  <c r="B61" i="4"/>
  <c r="C45" i="4" l="1"/>
  <c r="B31" i="4"/>
  <c r="C62" i="4"/>
  <c r="B63" i="4" l="1"/>
</calcChain>
</file>

<file path=xl/sharedStrings.xml><?xml version="1.0" encoding="utf-8"?>
<sst xmlns="http://schemas.openxmlformats.org/spreadsheetml/2006/main" count="70" uniqueCount="57">
  <si>
    <t>Debours</t>
  </si>
  <si>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</si>
  <si>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</si>
  <si>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</si>
  <si>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</si>
  <si>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</si>
  <si>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</si>
  <si>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</si>
  <si>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>RUBRIQUES</t>
  </si>
  <si>
    <t>EMOLUMENTS</t>
  </si>
  <si>
    <t>TRESOR</t>
  </si>
  <si>
    <t>DEBOURS</t>
  </si>
  <si>
    <t>Insertion</t>
  </si>
  <si>
    <t>SOUS / TOTAUX</t>
  </si>
  <si>
    <t>Débours divers</t>
  </si>
  <si>
    <t>REGISTRES COMPLEMENTAIRES OBLIGATOIRES</t>
  </si>
  <si>
    <t>Paraphe des Registres au Tribunal du Commerce</t>
  </si>
  <si>
    <t>Débours</t>
  </si>
  <si>
    <t>Akoua Mireille</t>
  </si>
  <si>
    <t>Emoluments de rôles</t>
  </si>
  <si>
    <t>Bordereau d'enregistrement</t>
  </si>
  <si>
    <t>Art 135</t>
  </si>
  <si>
    <t>Emoluments  de rôles</t>
  </si>
  <si>
    <t xml:space="preserve">Emoluments </t>
  </si>
  <si>
    <r>
      <t xml:space="preserve">                                                                                                          </t>
    </r>
    <r>
      <rPr>
        <b/>
        <u/>
        <sz val="14"/>
        <color theme="1"/>
        <rFont val="Calibri"/>
        <family val="2"/>
        <scheme val="minor"/>
      </rPr>
      <t>Me KOFFI-ABOUT AKOUA Mireille</t>
    </r>
  </si>
  <si>
    <r>
      <t xml:space="preserve">En cas de règlement par chèque, merci de le libeller au nom de: </t>
    </r>
    <r>
      <rPr>
        <b/>
        <sz val="14"/>
        <color theme="1"/>
        <rFont val="Calibri"/>
        <family val="2"/>
        <scheme val="minor"/>
      </rPr>
      <t>ETUDE DE Me KOFFI-ABOUT</t>
    </r>
  </si>
  <si>
    <t>Publication</t>
  </si>
  <si>
    <t>Registre Présence Assemblées Génerales</t>
  </si>
  <si>
    <t>TOTAL GENERAL</t>
  </si>
  <si>
    <t>TOTAL A PAYER REGISTRES</t>
  </si>
  <si>
    <t>Veuillez arrêter la présente taxe prévisionnelle à la somme de:</t>
  </si>
  <si>
    <t>Code Import Export</t>
  </si>
  <si>
    <t xml:space="preserve"> </t>
  </si>
  <si>
    <t xml:space="preserve"> STATUTS</t>
  </si>
  <si>
    <t>DNSV</t>
  </si>
  <si>
    <t>TOTAL A PAYER POUR LES STATUTS</t>
  </si>
  <si>
    <t xml:space="preserve">Droit d'enregistrement Fixe </t>
  </si>
  <si>
    <t>Enregistement (Droit proportionnel)</t>
  </si>
  <si>
    <t>TOTAL A PAYER POUR LA DNSV</t>
  </si>
  <si>
    <t>Bulletin de souscription (02)</t>
  </si>
  <si>
    <t>Timbres fiscaux (Minutes)</t>
  </si>
  <si>
    <t>Timbres Fiscaux (Minutes)</t>
  </si>
  <si>
    <t>Sauf à parfaire ou à diminuer et sous réserve de l'enregistrement du contrat de bail,</t>
  </si>
  <si>
    <t>Enregistrement du contrat de bail</t>
  </si>
  <si>
    <t>Achat des formulaire du contrat de bail</t>
  </si>
  <si>
    <t>Registre des décisions de l'associé unique ou des associés</t>
  </si>
  <si>
    <t>Timbres Fiscaux (03 Expéditions)</t>
  </si>
  <si>
    <t>Registre des Associés</t>
  </si>
  <si>
    <t>Registre des bénéficiaires effectifs</t>
  </si>
  <si>
    <t>Registre de certificats nominitifs des parts sociales</t>
  </si>
  <si>
    <t>Timbres fiscaux (03 Expeditions)</t>
  </si>
  <si>
    <t xml:space="preserve">Greffe </t>
  </si>
  <si>
    <t xml:space="preserve">Abidjan le </t>
  </si>
  <si>
    <r>
      <rPr>
        <b/>
        <u/>
        <sz val="14"/>
        <color rgb="FF000000"/>
        <rFont val="Calibri"/>
        <family val="2"/>
        <scheme val="minor"/>
      </rPr>
      <t>AFFAIRE</t>
    </r>
    <r>
      <rPr>
        <b/>
        <sz val="14"/>
        <color rgb="FF000000"/>
        <rFont val="Calibri"/>
        <family val="2"/>
        <scheme val="minor"/>
      </rPr>
      <t xml:space="preserve"> : CONSTITUTION DE LA SARL…..........................</t>
    </r>
  </si>
  <si>
    <t>CAPITAL: 1 000 000 FCFA</t>
  </si>
  <si>
    <t>Déclaration au régistre des bénéficiaires effectifs</t>
  </si>
  <si>
    <t>UN MILLION TROIS CENT QUARANTE CINQ MILLE (1 345 000) FRANCS 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</si>
</sst>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\ _€_-;\-* #,##0\ _€_-;_-* &quot;-&quot;??\ _€_-;_-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3" fontId="6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4" fillId="0" borderId="0" xfId="0" applyFont="1"/>
    <xf numFmtId="165" fontId="14" fillId="0" borderId="0" xfId="0" applyNumberFormat="1" applyFont="1"/>
    <xf numFmtId="166" fontId="4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3" xfId="0" applyFont="1" applyBorder="1"/>
    <xf numFmtId="0" fontId="4" fillId="0" borderId="5" xfId="0" applyFont="1" applyBorder="1"/>
    <xf numFmtId="165" fontId="4" fillId="0" borderId="0" xfId="1" applyNumberFormat="1" applyFont="1" applyBorder="1"/>
    <xf numFmtId="165" fontId="4" fillId="0" borderId="3" xfId="1" applyNumberFormat="1" applyFont="1" applyBorder="1"/>
    <xf numFmtId="0" fontId="14" fillId="0" borderId="9" xfId="0" applyFont="1" applyBorder="1"/>
    <xf numFmtId="165" fontId="14" fillId="0" borderId="10" xfId="1" applyNumberFormat="1" applyFont="1" applyBorder="1"/>
    <xf numFmtId="165" fontId="14" fillId="0" borderId="11" xfId="1" applyNumberFormat="1" applyFont="1" applyBorder="1"/>
    <xf numFmtId="165" fontId="14" fillId="0" borderId="12" xfId="1" applyNumberFormat="1" applyFont="1" applyBorder="1"/>
    <xf numFmtId="165" fontId="14" fillId="0" borderId="2" xfId="1" applyNumberFormat="1" applyFont="1" applyBorder="1" applyAlignment="1">
      <alignment vertical="center"/>
    </xf>
    <xf numFmtId="165" fontId="14" fillId="0" borderId="1" xfId="1" applyNumberFormat="1" applyFont="1" applyBorder="1" applyAlignment="1">
      <alignment vertical="center"/>
    </xf>
    <xf numFmtId="0" fontId="14" fillId="0" borderId="6" xfId="0" applyFont="1" applyBorder="1"/>
    <xf numFmtId="165" fontId="4" fillId="0" borderId="4" xfId="1" applyNumberFormat="1" applyFont="1" applyBorder="1" applyAlignment="1">
      <alignment vertical="center"/>
    </xf>
    <xf numFmtId="0" fontId="13" fillId="0" borderId="1" xfId="2" applyFont="1" applyBorder="1"/>
    <xf numFmtId="0" fontId="12" fillId="0" borderId="3" xfId="2" applyFont="1" applyBorder="1"/>
    <xf numFmtId="0" fontId="13" fillId="0" borderId="7" xfId="2" applyFont="1" applyBorder="1" applyAlignment="1">
      <alignment horizontal="center"/>
    </xf>
    <xf numFmtId="166" fontId="12" fillId="0" borderId="0" xfId="2" applyNumberFormat="1" applyFont="1"/>
    <xf numFmtId="0" fontId="13" fillId="0" borderId="2" xfId="2" applyFont="1" applyBorder="1" applyAlignment="1">
      <alignment horizontal="center"/>
    </xf>
    <xf numFmtId="166" fontId="12" fillId="0" borderId="4" xfId="2" applyNumberFormat="1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166" fontId="12" fillId="0" borderId="3" xfId="2" applyNumberFormat="1" applyFont="1" applyBorder="1" applyAlignment="1">
      <alignment horizontal="center"/>
    </xf>
    <xf numFmtId="0" fontId="13" fillId="0" borderId="13" xfId="2" applyFont="1" applyBorder="1"/>
    <xf numFmtId="166" fontId="13" fillId="0" borderId="14" xfId="2" applyNumberFormat="1" applyFont="1" applyBorder="1" applyAlignment="1">
      <alignment vertical="center"/>
    </xf>
    <xf numFmtId="166" fontId="13" fillId="0" borderId="8" xfId="2" applyNumberFormat="1" applyFont="1" applyBorder="1" applyAlignment="1">
      <alignment vertical="center"/>
    </xf>
    <xf numFmtId="166" fontId="13" fillId="2" borderId="5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6" fillId="0" borderId="0" xfId="0" applyFont="1"/>
    <xf numFmtId="0" fontId="14" fillId="0" borderId="1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6" fontId="12" fillId="0" borderId="3" xfId="2" applyNumberFormat="1" applyFont="1" applyBorder="1" applyAlignment="1">
      <alignment horizontal="center" vertical="center"/>
    </xf>
    <xf numFmtId="165" fontId="14" fillId="0" borderId="0" xfId="1" applyNumberFormat="1" applyFont="1" applyBorder="1" applyAlignment="1">
      <alignment vertical="center"/>
    </xf>
    <xf numFmtId="165" fontId="14" fillId="0" borderId="0" xfId="1" applyNumberFormat="1" applyFont="1" applyBorder="1" applyAlignment="1">
      <alignment horizontal="center" vertical="center"/>
    </xf>
    <xf numFmtId="0" fontId="13" fillId="0" borderId="6" xfId="2" applyFont="1" applyBorder="1" applyAlignment="1">
      <alignment vertical="center"/>
    </xf>
    <xf numFmtId="166" fontId="13" fillId="0" borderId="1" xfId="2" applyNumberFormat="1" applyFont="1" applyBorder="1" applyAlignment="1">
      <alignment vertical="center"/>
    </xf>
    <xf numFmtId="166" fontId="13" fillId="0" borderId="2" xfId="2" applyNumberFormat="1" applyFont="1" applyBorder="1" applyAlignment="1">
      <alignment vertical="center"/>
    </xf>
    <xf numFmtId="0" fontId="9" fillId="3" borderId="3" xfId="0" applyFont="1" applyFill="1" applyBorder="1"/>
    <xf numFmtId="0" fontId="9" fillId="0" borderId="3" xfId="0" applyFont="1" applyBorder="1" applyAlignment="1">
      <alignment wrapText="1"/>
    </xf>
    <xf numFmtId="0" fontId="9" fillId="3" borderId="3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wrapText="1"/>
    </xf>
    <xf numFmtId="0" fontId="14" fillId="0" borderId="0" xfId="0" applyFont="1" applyAlignment="1">
      <alignment horizontal="right"/>
    </xf>
    <xf numFmtId="3" fontId="7" fillId="0" borderId="6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10" fillId="0" borderId="0" xfId="2" applyFont="1" applyAlignment="1">
      <alignment horizontal="center"/>
    </xf>
    <xf numFmtId="0" fontId="11" fillId="0" borderId="0" xfId="2" applyFont="1"/>
    <xf numFmtId="165" fontId="14" fillId="0" borderId="6" xfId="1" applyNumberFormat="1" applyFont="1" applyBorder="1" applyAlignment="1">
      <alignment horizontal="center" vertical="center"/>
    </xf>
    <xf numFmtId="165" fontId="14" fillId="0" borderId="2" xfId="1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5" fontId="4" fillId="3" borderId="4" xfId="1" applyNumberFormat="1" applyFont="1" applyFill="1" applyBorder="1" applyAlignment="1">
      <alignment vertical="center"/>
    </xf>
  </cellXfs>
  <cellStyles count="3">
    <cellStyle name="Milliers" xfId="1" builtinId="3"/>
    <cellStyle name="Normal" xfId="0" builtinId="0"/>
    <cellStyle name="Normal 2" xfId="2" xr:uid="{4D461534-9982-403E-91FE-CC0E30158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1295401</xdr:colOff>
      <xdr:row>1</xdr:row>
      <xdr:rowOff>76199</xdr:rowOff>
    </xdr:from>
    <xdr:to>
      <xdr:col>3</xdr:col>
      <xdr:colOff>1162052</xdr:colOff>
      <xdr:row>6</xdr:row>
      <xdr:rowOff>228600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57C5CF04-EAE2-49BA-AD98-9C318D287FBD}"/>
            </a:ext>
          </a:extLst>
        </xdr:cNvPr>
        <xdr:cNvSpPr>
          <a:spLocks noChangeArrowheads="1"/>
        </xdr:cNvSpPr>
      </xdr:nvSpPr>
      <xdr:spPr bwMode="auto">
        <a:xfrm>
          <a:off x="5048251" y="314324"/>
          <a:ext cx="2733676" cy="1343026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2400" b="1" i="0" u="sng" strike="noStrike" baseline="0">
              <a:solidFill>
                <a:srgbClr val="000000"/>
              </a:solidFill>
              <a:latin typeface="Calibri"/>
            </a:rPr>
            <a:t>CLIENT</a:t>
          </a:r>
          <a:endParaRPr lang="fr-FR" sz="1400" b="1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fr-FR" sz="2400" b="1" i="0" u="none" strike="noStrike" baseline="0">
              <a:solidFill>
                <a:srgbClr val="000000"/>
              </a:solidFill>
              <a:latin typeface="Calibri"/>
            </a:rPr>
            <a:t>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C763-A5E3-4FC2-9F05-2516515201CB}">
  <dimension ref="A1:F74"/>
  <sheetViews>
    <sheetView tabSelected="1" workbookViewId="0">
      <selection activeCell="G62" sqref="G62"/>
    </sheetView>
  </sheetViews>
  <sheetFormatPr baseColWidth="10" defaultRowHeight="15" x14ac:dyDescent="0.25"/>
  <cols>
    <col min="1" max="1" width="60.7109375" customWidth="1"/>
    <col min="2" max="2" width="23.42578125" customWidth="1"/>
    <col min="3" max="3" width="19.5703125" customWidth="1"/>
    <col min="4" max="4" width="23.42578125" customWidth="1"/>
    <col min="7" max="7" width="11.7109375" bestFit="1" customWidth="1"/>
  </cols>
  <sheetData>
    <row r="1" spans="1:4" ht="18.75" x14ac:dyDescent="0.3">
      <c r="A1" s="66" t="s">
        <v>1</v>
      </c>
      <c r="B1" s="66"/>
      <c r="C1" s="2"/>
      <c r="D1" s="2"/>
    </row>
    <row r="2" spans="1:4" ht="18.75" x14ac:dyDescent="0.3">
      <c r="A2" s="1" t="s">
        <v>2</v>
      </c>
      <c r="B2" s="2"/>
      <c r="C2" s="3"/>
      <c r="D2" s="2"/>
    </row>
    <row r="3" spans="1:4" ht="18.75" x14ac:dyDescent="0.3">
      <c r="A3" s="4" t="s">
        <v>3</v>
      </c>
      <c r="B3" s="2"/>
      <c r="C3" s="2"/>
      <c r="D3" s="2"/>
    </row>
    <row r="4" spans="1:4" ht="18.75" x14ac:dyDescent="0.3">
      <c r="A4" s="67" t="s">
        <v>4</v>
      </c>
      <c r="B4" s="67"/>
      <c r="C4" s="2"/>
      <c r="D4" s="2"/>
    </row>
    <row r="5" spans="1:4" ht="18.75" x14ac:dyDescent="0.3">
      <c r="A5" s="4" t="s">
        <v>5</v>
      </c>
      <c r="B5" s="2"/>
      <c r="C5" s="2"/>
      <c r="D5" s="2"/>
    </row>
    <row r="6" spans="1:4" ht="18.75" x14ac:dyDescent="0.3">
      <c r="A6" s="67" t="s">
        <v>6</v>
      </c>
      <c r="B6" s="67"/>
      <c r="C6" s="2"/>
      <c r="D6" s="2"/>
    </row>
    <row r="7" spans="1:4" ht="18.75" x14ac:dyDescent="0.3">
      <c r="A7" s="67" t="s">
        <v>7</v>
      </c>
      <c r="B7" s="67"/>
      <c r="C7" s="67"/>
      <c r="D7" s="2"/>
    </row>
    <row r="8" spans="1:4" ht="18.75" x14ac:dyDescent="0.3">
      <c r="A8" s="2"/>
      <c r="B8" s="68"/>
      <c r="C8" s="68"/>
      <c r="D8" s="68"/>
    </row>
    <row r="9" spans="1:4" ht="18.75" x14ac:dyDescent="0.25">
      <c r="A9" s="4" t="s">
        <v>52</v>
      </c>
      <c r="B9" s="68"/>
      <c r="C9" s="68"/>
      <c r="D9" s="68"/>
    </row>
    <row r="10" spans="1:4" ht="18.75" x14ac:dyDescent="0.3">
      <c r="A10" s="4"/>
      <c r="B10" s="2"/>
      <c r="C10" s="2"/>
      <c r="D10" s="2"/>
    </row>
    <row r="11" spans="1:4" ht="18.75" x14ac:dyDescent="0.25">
      <c r="A11" s="69" t="s">
        <v>53</v>
      </c>
      <c r="B11" s="69"/>
      <c r="C11" s="69"/>
      <c r="D11" s="69"/>
    </row>
    <row r="12" spans="1:4" ht="28.5" customHeight="1" x14ac:dyDescent="0.3">
      <c r="A12" s="5" t="s">
        <v>54</v>
      </c>
      <c r="B12" s="6"/>
      <c r="C12" s="2"/>
      <c r="D12" s="2"/>
    </row>
    <row r="13" spans="1:4" ht="19.5" thickBot="1" x14ac:dyDescent="0.35">
      <c r="A13" s="2"/>
      <c r="B13" s="7" t="s">
        <v>33</v>
      </c>
      <c r="C13" s="2"/>
      <c r="D13" s="2"/>
    </row>
    <row r="14" spans="1:4" ht="25.5" customHeight="1" thickBot="1" x14ac:dyDescent="0.3">
      <c r="A14" s="14" t="s">
        <v>8</v>
      </c>
      <c r="B14" s="46" t="s">
        <v>9</v>
      </c>
      <c r="C14" s="46" t="s">
        <v>10</v>
      </c>
      <c r="D14" s="46" t="s">
        <v>11</v>
      </c>
    </row>
    <row r="15" spans="1:4" ht="24" customHeight="1" x14ac:dyDescent="0.25">
      <c r="A15" s="8" t="s">
        <v>41</v>
      </c>
      <c r="B15" s="9"/>
      <c r="C15" s="10">
        <v>20000</v>
      </c>
      <c r="D15" s="9"/>
    </row>
    <row r="16" spans="1:4" ht="26.25" customHeight="1" x14ac:dyDescent="0.25">
      <c r="A16" s="8" t="s">
        <v>46</v>
      </c>
      <c r="B16" s="9"/>
      <c r="C16" s="10">
        <v>60000</v>
      </c>
      <c r="D16" s="9"/>
    </row>
    <row r="17" spans="1:6" ht="24.75" customHeight="1" x14ac:dyDescent="0.25">
      <c r="A17" s="11" t="s">
        <v>37</v>
      </c>
      <c r="B17" s="9"/>
      <c r="C17" s="10"/>
      <c r="D17" s="9"/>
    </row>
    <row r="18" spans="1:6" ht="23.25" customHeight="1" x14ac:dyDescent="0.25">
      <c r="A18" s="11" t="s">
        <v>20</v>
      </c>
      <c r="B18" s="9"/>
      <c r="C18" s="10"/>
      <c r="D18" s="9"/>
    </row>
    <row r="19" spans="1:6" ht="22.5" customHeight="1" x14ac:dyDescent="0.25">
      <c r="A19" s="11" t="s">
        <v>26</v>
      </c>
      <c r="B19" s="9"/>
      <c r="C19" s="10"/>
      <c r="D19" s="12"/>
    </row>
    <row r="20" spans="1:6" ht="21.75" customHeight="1" x14ac:dyDescent="0.25">
      <c r="A20" s="11" t="s">
        <v>23</v>
      </c>
      <c r="B20" s="12">
        <v>205000</v>
      </c>
      <c r="C20" s="13"/>
      <c r="D20" s="9"/>
    </row>
    <row r="21" spans="1:6" ht="25.5" customHeight="1" x14ac:dyDescent="0.25">
      <c r="A21" s="11" t="s">
        <v>19</v>
      </c>
      <c r="B21" s="12">
        <v>80000</v>
      </c>
      <c r="C21" s="13"/>
      <c r="D21" s="9"/>
    </row>
    <row r="22" spans="1:6" ht="29.25" customHeight="1" x14ac:dyDescent="0.25">
      <c r="A22" s="11" t="s">
        <v>51</v>
      </c>
      <c r="B22" s="9"/>
      <c r="C22" s="12">
        <v>15000</v>
      </c>
      <c r="D22" s="12"/>
    </row>
    <row r="23" spans="1:6" ht="29.25" customHeight="1" x14ac:dyDescent="0.25">
      <c r="A23" s="11" t="s">
        <v>39</v>
      </c>
      <c r="B23" s="12">
        <v>100000</v>
      </c>
      <c r="C23" s="12"/>
      <c r="D23" s="12"/>
    </row>
    <row r="24" spans="1:6" ht="26.25" customHeight="1" x14ac:dyDescent="0.25">
      <c r="A24" s="11" t="s">
        <v>12</v>
      </c>
      <c r="B24" s="9"/>
      <c r="C24" s="9">
        <v>25000</v>
      </c>
      <c r="D24" s="12"/>
    </row>
    <row r="25" spans="1:6" ht="26.25" customHeight="1" x14ac:dyDescent="0.25">
      <c r="A25" s="11" t="s">
        <v>44</v>
      </c>
      <c r="B25" s="9"/>
      <c r="C25" s="9"/>
      <c r="D25" s="12"/>
    </row>
    <row r="26" spans="1:6" ht="27.75" customHeight="1" x14ac:dyDescent="0.25">
      <c r="A26" s="11" t="s">
        <v>43</v>
      </c>
      <c r="B26" s="9"/>
      <c r="C26" s="9"/>
      <c r="D26" s="12"/>
    </row>
    <row r="27" spans="1:6" ht="31.5" customHeight="1" x14ac:dyDescent="0.25">
      <c r="A27" s="11" t="s">
        <v>31</v>
      </c>
      <c r="B27" s="9"/>
      <c r="C27" s="9"/>
      <c r="D27" s="12"/>
      <c r="F27" t="s">
        <v>32</v>
      </c>
    </row>
    <row r="28" spans="1:6" ht="26.25" customHeight="1" x14ac:dyDescent="0.25">
      <c r="A28" s="11" t="s">
        <v>21</v>
      </c>
      <c r="B28" s="9">
        <v>20000</v>
      </c>
      <c r="C28" s="9"/>
      <c r="D28" s="12"/>
    </row>
    <row r="29" spans="1:6" ht="19.5" thickBot="1" x14ac:dyDescent="0.3">
      <c r="A29" s="11" t="s">
        <v>0</v>
      </c>
      <c r="B29" s="9"/>
      <c r="C29" s="9"/>
      <c r="D29" s="12">
        <v>100000</v>
      </c>
    </row>
    <row r="30" spans="1:6" ht="26.25" customHeight="1" thickBot="1" x14ac:dyDescent="0.3">
      <c r="A30" s="14" t="s">
        <v>13</v>
      </c>
      <c r="B30" s="15">
        <f>SUM(B18:B29)</f>
        <v>405000</v>
      </c>
      <c r="C30" s="15">
        <f>SUM(C15:C29)</f>
        <v>120000</v>
      </c>
      <c r="D30" s="15">
        <f>SUM(D19:D29)</f>
        <v>100000</v>
      </c>
    </row>
    <row r="31" spans="1:6" ht="31.5" customHeight="1" thickBot="1" x14ac:dyDescent="0.3">
      <c r="A31" s="16" t="s">
        <v>35</v>
      </c>
      <c r="B31" s="63">
        <f>+B30+C30+D30</f>
        <v>625000</v>
      </c>
      <c r="C31" s="64"/>
      <c r="D31" s="65"/>
    </row>
    <row r="32" spans="1:6" ht="18.75" x14ac:dyDescent="0.3">
      <c r="A32" s="2"/>
      <c r="B32" s="2"/>
      <c r="C32" s="2"/>
      <c r="D32" s="2"/>
    </row>
    <row r="33" spans="1:4" ht="18.75" x14ac:dyDescent="0.3">
      <c r="A33" s="2"/>
      <c r="B33" s="2"/>
      <c r="C33" s="2"/>
      <c r="D33" s="2"/>
    </row>
    <row r="34" spans="1:4" ht="19.5" thickBot="1" x14ac:dyDescent="0.35">
      <c r="A34" s="70" t="s">
        <v>34</v>
      </c>
      <c r="B34" s="71"/>
      <c r="C34" s="71"/>
      <c r="D34" s="71"/>
    </row>
    <row r="35" spans="1:4" ht="30.75" customHeight="1" thickBot="1" x14ac:dyDescent="0.35">
      <c r="A35" s="34" t="s">
        <v>8</v>
      </c>
      <c r="B35" s="36" t="s">
        <v>9</v>
      </c>
      <c r="C35" s="40" t="s">
        <v>10</v>
      </c>
      <c r="D35" s="38" t="s">
        <v>11</v>
      </c>
    </row>
    <row r="36" spans="1:4" ht="26.25" customHeight="1" x14ac:dyDescent="0.3">
      <c r="A36" s="35" t="s">
        <v>40</v>
      </c>
      <c r="B36" s="37"/>
      <c r="C36" s="41">
        <v>10000</v>
      </c>
      <c r="D36" s="39"/>
    </row>
    <row r="37" spans="1:4" ht="26.25" customHeight="1" x14ac:dyDescent="0.3">
      <c r="A37" s="35" t="s">
        <v>50</v>
      </c>
      <c r="B37" s="37"/>
      <c r="C37" s="41">
        <v>30000</v>
      </c>
      <c r="D37" s="39"/>
    </row>
    <row r="38" spans="1:4" ht="26.25" customHeight="1" x14ac:dyDescent="0.3">
      <c r="A38" s="35" t="s">
        <v>36</v>
      </c>
      <c r="B38" s="37"/>
      <c r="C38" s="52"/>
      <c r="D38" s="39"/>
    </row>
    <row r="39" spans="1:4" ht="22.5" customHeight="1" x14ac:dyDescent="0.3">
      <c r="A39" s="35" t="s">
        <v>20</v>
      </c>
      <c r="B39" s="37"/>
      <c r="C39" s="41"/>
      <c r="D39" s="39"/>
    </row>
    <row r="40" spans="1:4" ht="27" customHeight="1" x14ac:dyDescent="0.3">
      <c r="A40" s="35" t="s">
        <v>23</v>
      </c>
      <c r="B40" s="37">
        <v>100000</v>
      </c>
      <c r="C40" s="41"/>
      <c r="D40" s="39"/>
    </row>
    <row r="41" spans="1:4" ht="23.25" customHeight="1" x14ac:dyDescent="0.3">
      <c r="A41" s="35" t="s">
        <v>22</v>
      </c>
      <c r="B41" s="37">
        <v>40000</v>
      </c>
      <c r="C41" s="41"/>
      <c r="D41" s="39"/>
    </row>
    <row r="42" spans="1:4" ht="30" customHeight="1" x14ac:dyDescent="0.3">
      <c r="A42" s="35" t="s">
        <v>21</v>
      </c>
      <c r="B42" s="37">
        <v>20000</v>
      </c>
      <c r="C42" s="41"/>
      <c r="D42" s="39"/>
    </row>
    <row r="43" spans="1:4" ht="26.25" customHeight="1" thickBot="1" x14ac:dyDescent="0.35">
      <c r="A43" s="35" t="s">
        <v>14</v>
      </c>
      <c r="B43" s="37"/>
      <c r="C43" s="41"/>
      <c r="D43" s="39">
        <v>50000</v>
      </c>
    </row>
    <row r="44" spans="1:4" ht="27" customHeight="1" thickBot="1" x14ac:dyDescent="0.3">
      <c r="A44" s="55" t="s">
        <v>13</v>
      </c>
      <c r="B44" s="56">
        <f>SUM(B39:B43)</f>
        <v>160000</v>
      </c>
      <c r="C44" s="56">
        <f>SUM(C36:C43)</f>
        <v>40000</v>
      </c>
      <c r="D44" s="57">
        <v>50000</v>
      </c>
    </row>
    <row r="45" spans="1:4" ht="30" customHeight="1" thickBot="1" x14ac:dyDescent="0.35">
      <c r="A45" s="42" t="s">
        <v>38</v>
      </c>
      <c r="B45" s="43"/>
      <c r="C45" s="45">
        <f>+B44+C44+D44</f>
        <v>250000</v>
      </c>
      <c r="D45" s="44"/>
    </row>
    <row r="46" spans="1:4" ht="18.75" x14ac:dyDescent="0.3">
      <c r="A46" s="2"/>
      <c r="B46" s="2"/>
      <c r="C46" s="2"/>
      <c r="D46" s="2"/>
    </row>
    <row r="47" spans="1:4" ht="18.75" x14ac:dyDescent="0.3">
      <c r="A47" s="2"/>
      <c r="B47" s="2"/>
      <c r="C47" s="2"/>
      <c r="D47" s="2"/>
    </row>
    <row r="48" spans="1:4" ht="18.75" x14ac:dyDescent="0.3">
      <c r="A48" s="2"/>
      <c r="B48" s="2"/>
      <c r="C48" s="2"/>
      <c r="D48" s="2"/>
    </row>
    <row r="49" spans="1:4" ht="18.75" x14ac:dyDescent="0.3">
      <c r="A49" s="2"/>
      <c r="B49" s="2"/>
      <c r="C49" s="2"/>
      <c r="D49" s="2"/>
    </row>
    <row r="50" spans="1:4" ht="18.75" x14ac:dyDescent="0.3">
      <c r="A50" s="2"/>
      <c r="B50" s="2"/>
      <c r="C50" s="2"/>
      <c r="D50" s="2"/>
    </row>
    <row r="51" spans="1:4" ht="19.5" thickBot="1" x14ac:dyDescent="0.35">
      <c r="A51" s="17" t="s">
        <v>15</v>
      </c>
      <c r="B51" s="18"/>
      <c r="C51" s="2"/>
      <c r="D51" s="2"/>
    </row>
    <row r="52" spans="1:4" s="47" customFormat="1" ht="24.75" customHeight="1" thickBot="1" x14ac:dyDescent="0.3">
      <c r="A52" s="48" t="s">
        <v>8</v>
      </c>
      <c r="B52" s="49" t="s">
        <v>9</v>
      </c>
      <c r="C52" s="50" t="s">
        <v>10</v>
      </c>
      <c r="D52" s="51" t="s">
        <v>11</v>
      </c>
    </row>
    <row r="53" spans="1:4" ht="37.5" x14ac:dyDescent="0.3">
      <c r="A53" s="61" t="s">
        <v>45</v>
      </c>
      <c r="B53" s="24"/>
      <c r="C53" s="25"/>
      <c r="D53" s="33">
        <v>55000</v>
      </c>
    </row>
    <row r="54" spans="1:4" ht="18.75" x14ac:dyDescent="0.3">
      <c r="A54" s="58" t="s">
        <v>49</v>
      </c>
      <c r="B54" s="24"/>
      <c r="C54" s="25"/>
      <c r="D54" s="33">
        <v>60000</v>
      </c>
    </row>
    <row r="55" spans="1:4" ht="18.75" x14ac:dyDescent="0.3">
      <c r="A55" s="58" t="s">
        <v>27</v>
      </c>
      <c r="B55" s="24"/>
      <c r="C55" s="25"/>
      <c r="D55" s="33">
        <v>60000</v>
      </c>
    </row>
    <row r="56" spans="1:4" ht="27" customHeight="1" x14ac:dyDescent="0.3">
      <c r="A56" s="60" t="s">
        <v>47</v>
      </c>
      <c r="B56" s="24"/>
      <c r="C56" s="25"/>
      <c r="D56" s="33">
        <v>60000</v>
      </c>
    </row>
    <row r="57" spans="1:4" ht="18.75" x14ac:dyDescent="0.3">
      <c r="A57" s="59" t="s">
        <v>48</v>
      </c>
      <c r="B57" s="24"/>
      <c r="C57" s="25"/>
      <c r="D57" s="33">
        <v>55000</v>
      </c>
    </row>
    <row r="58" spans="1:4" ht="18.75" x14ac:dyDescent="0.3">
      <c r="A58" s="59" t="s">
        <v>55</v>
      </c>
      <c r="B58" s="24"/>
      <c r="C58" s="25"/>
      <c r="D58" s="76">
        <v>25000</v>
      </c>
    </row>
    <row r="59" spans="1:4" ht="18.75" x14ac:dyDescent="0.3">
      <c r="A59" s="22" t="s">
        <v>16</v>
      </c>
      <c r="B59" s="24"/>
      <c r="C59" s="25"/>
      <c r="D59" s="33">
        <v>130000</v>
      </c>
    </row>
    <row r="60" spans="1:4" ht="19.5" thickBot="1" x14ac:dyDescent="0.35">
      <c r="A60" s="23" t="s">
        <v>17</v>
      </c>
      <c r="B60" s="24"/>
      <c r="C60" s="25"/>
      <c r="D60" s="33">
        <v>25000</v>
      </c>
    </row>
    <row r="61" spans="1:4" ht="19.5" thickBot="1" x14ac:dyDescent="0.35">
      <c r="A61" s="26" t="s">
        <v>13</v>
      </c>
      <c r="B61" s="27">
        <f>SUM(B53:B60)</f>
        <v>0</v>
      </c>
      <c r="C61" s="28">
        <f>SUM(C53:C60)</f>
        <v>0</v>
      </c>
      <c r="D61" s="29">
        <f>SUM(D53:D60)</f>
        <v>470000</v>
      </c>
    </row>
    <row r="62" spans="1:4" ht="19.5" thickBot="1" x14ac:dyDescent="0.35">
      <c r="A62" s="32" t="s">
        <v>29</v>
      </c>
      <c r="B62" s="31"/>
      <c r="C62" s="31">
        <f>+B61+C61+D61</f>
        <v>470000</v>
      </c>
      <c r="D62" s="30"/>
    </row>
    <row r="63" spans="1:4" ht="19.5" thickBot="1" x14ac:dyDescent="0.35">
      <c r="A63" s="32" t="s">
        <v>28</v>
      </c>
      <c r="B63" s="72">
        <f>C62+C45+B31</f>
        <v>1345000</v>
      </c>
      <c r="C63" s="73"/>
      <c r="D63" s="53"/>
    </row>
    <row r="64" spans="1:4" ht="18.75" x14ac:dyDescent="0.3">
      <c r="A64" s="17"/>
      <c r="B64" s="54"/>
      <c r="C64" s="54"/>
      <c r="D64" s="53"/>
    </row>
    <row r="65" spans="1:4" ht="18.75" x14ac:dyDescent="0.3">
      <c r="A65" s="2" t="s">
        <v>42</v>
      </c>
      <c r="C65" s="2"/>
      <c r="D65" s="2"/>
    </row>
    <row r="66" spans="1:4" ht="18.75" x14ac:dyDescent="0.3">
      <c r="A66" s="2" t="s">
        <v>30</v>
      </c>
      <c r="B66" s="2"/>
      <c r="C66" s="2"/>
      <c r="D66" s="19"/>
    </row>
    <row r="67" spans="1:4" ht="18.75" x14ac:dyDescent="0.3">
      <c r="A67" s="74" t="s">
        <v>56</v>
      </c>
      <c r="B67" s="75"/>
      <c r="C67" s="75"/>
      <c r="D67" s="75"/>
    </row>
    <row r="68" spans="1:4" ht="18.75" x14ac:dyDescent="0.3">
      <c r="A68" s="20"/>
      <c r="B68" s="20"/>
      <c r="C68" s="20"/>
      <c r="D68" s="20"/>
    </row>
    <row r="69" spans="1:4" ht="18.75" x14ac:dyDescent="0.3">
      <c r="A69" s="2"/>
      <c r="B69" s="2"/>
      <c r="C69" s="21"/>
      <c r="D69" s="2"/>
    </row>
    <row r="70" spans="1:4" ht="18.75" x14ac:dyDescent="0.3">
      <c r="A70" s="2"/>
      <c r="B70" s="62" t="s">
        <v>24</v>
      </c>
      <c r="C70" s="62"/>
      <c r="D70" s="62"/>
    </row>
    <row r="71" spans="1:4" ht="18.75" x14ac:dyDescent="0.3">
      <c r="A71" s="2"/>
      <c r="B71" s="2"/>
      <c r="C71" s="2"/>
      <c r="D71" s="2"/>
    </row>
    <row r="72" spans="1:4" ht="18.75" x14ac:dyDescent="0.3">
      <c r="A72" s="2" t="s">
        <v>25</v>
      </c>
      <c r="B72" s="2"/>
      <c r="C72" s="2"/>
      <c r="D72" s="2"/>
    </row>
    <row r="73" spans="1:4" ht="18.75" x14ac:dyDescent="0.3">
      <c r="A73" s="17" t="s">
        <v>18</v>
      </c>
      <c r="B73" s="2"/>
      <c r="C73" s="2"/>
      <c r="D73" s="2"/>
    </row>
    <row r="74" spans="1:4" ht="18.75" x14ac:dyDescent="0.3">
      <c r="A74" s="2"/>
      <c r="B74" s="2"/>
      <c r="C74" s="2"/>
      <c r="D74" s="2"/>
    </row>
  </sheetData>
  <mergeCells count="11">
    <mergeCell ref="B70:D70"/>
    <mergeCell ref="B31:D31"/>
    <mergeCell ref="A1:B1"/>
    <mergeCell ref="A4:B4"/>
    <mergeCell ref="A6:B6"/>
    <mergeCell ref="A7:C7"/>
    <mergeCell ref="B8:D9"/>
    <mergeCell ref="A11:D11"/>
    <mergeCell ref="A34:D34"/>
    <mergeCell ref="B63:C63"/>
    <mergeCell ref="A67:D67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0C55-FF85-4257-979D-FE4ADA9064FB}">
  <dimension ref="A1"/>
  <sheetViews>
    <sheetView workbookViewId="0">
      <selection activeCell="I22" sqref="I2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taxe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Comptabilité-01</dc:creator>
  <cp:lastModifiedBy>Office</cp:lastModifiedBy>
  <cp:lastPrinted>2024-06-10T17:07:19Z</cp:lastPrinted>
  <dcterms:created xsi:type="dcterms:W3CDTF">2022-11-30T17:57:20Z</dcterms:created>
  <dcterms:modified xsi:type="dcterms:W3CDTF">2026-08-28T16:21:50Z</dcterms:modified>
</cp:coreProperties>
</file>