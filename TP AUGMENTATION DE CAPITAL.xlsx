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13_ncr:1_{ED381B9B-709A-44E7-8654-B15A53167A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1" l="1"/>
  <c r="D37" i="1"/>
  <c r="B92" i="1"/>
  <c r="C37" i="1"/>
  <c r="B37" i="1"/>
  <c r="D65" i="1"/>
  <c r="C65" i="1"/>
  <c r="B65" i="1"/>
  <c r="C92" i="1"/>
  <c r="B66" i="1" l="1"/>
  <c r="B93" i="1"/>
  <c r="C38" i="1"/>
  <c r="D104" i="1" l="1"/>
  <c r="C104" i="1"/>
  <c r="B104" i="1"/>
  <c r="C105" i="1" l="1"/>
  <c r="B106" i="1" l="1"/>
</calcChain>
</file>

<file path=xl/sharedStrings.xml><?xml version="1.0" encoding="utf-8"?>
<sst xmlns="http://schemas.openxmlformats.org/spreadsheetml/2006/main" count="110" uniqueCount="77">
  <si>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</si>
  <si>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</si>
  <si>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</si>
  <si>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</si>
  <si>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</si>
  <si>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</si>
  <si>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</si>
  <si>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 xml:space="preserve">            </t>
  </si>
  <si>
    <t>RUBRIQUES</t>
  </si>
  <si>
    <t>EMOLUMENTS</t>
  </si>
  <si>
    <t>TRESOR</t>
  </si>
  <si>
    <t>DEBOURS</t>
  </si>
  <si>
    <t>Debours</t>
  </si>
  <si>
    <t>SOUS / TOTAUX</t>
  </si>
  <si>
    <t>Akoua Mireille</t>
  </si>
  <si>
    <t>Me KOFFI-ABOUT AKOUA Mireille</t>
  </si>
  <si>
    <t>Débours</t>
  </si>
  <si>
    <t>REGISTRES COMPLEMENTAIRES OBLIGATOIRES</t>
  </si>
  <si>
    <t>MISE A JOUR DES STATUTS</t>
  </si>
  <si>
    <t>Débours divers</t>
  </si>
  <si>
    <t>Art 135</t>
  </si>
  <si>
    <t>Bordereau d'enregistrement</t>
  </si>
  <si>
    <t>Registre des bénéficiaires effectifs</t>
  </si>
  <si>
    <t>Sauf à parfaire ou à diminuer, veuillez arrêter la présente taxe prévisionnelle à la somme de:</t>
  </si>
  <si>
    <t>Timbres fiscaux (Minutes)</t>
  </si>
  <si>
    <t>CAPITAL : 1 000 000</t>
  </si>
  <si>
    <r>
      <t xml:space="preserve">En cas de règlement par chèque, merci de le libeller au nom de: </t>
    </r>
    <r>
      <rPr>
        <b/>
        <sz val="16"/>
        <color theme="1"/>
        <rFont val="Calibri"/>
        <family val="2"/>
        <scheme val="minor"/>
      </rPr>
      <t>ETUDE DE Me KOFFI-ABOUT</t>
    </r>
  </si>
  <si>
    <t>Registre des Certificats Nominatifs des Parts</t>
  </si>
  <si>
    <t>Registre des Associés ou de l'Associé unique</t>
  </si>
  <si>
    <t>Registre de Présence aux Assemblées Génerales</t>
  </si>
  <si>
    <t>Paraphe des Registres au Tribunal du Commerce</t>
  </si>
  <si>
    <t>TOTAL A PAYER REGISTRES</t>
  </si>
  <si>
    <t>TOTAL GENERAL A PAYER</t>
  </si>
  <si>
    <t>ENREGISTREMENT</t>
  </si>
  <si>
    <t>Timbres Fiscaux (Minutes)</t>
  </si>
  <si>
    <t>Enregistement (Droit Fixe)</t>
  </si>
  <si>
    <t>CONSERVATION FONCIERE</t>
  </si>
  <si>
    <t>Enregistrement contrat de bail</t>
  </si>
  <si>
    <t>GREFFE</t>
  </si>
  <si>
    <t>Modification RCCM</t>
  </si>
  <si>
    <t>Publication</t>
  </si>
  <si>
    <t>Déclaration des béneficiaires effectifs</t>
  </si>
  <si>
    <t>1-Emolument proportionnel</t>
  </si>
  <si>
    <t>2-Emolument de formalités</t>
  </si>
  <si>
    <t>*Bordereau d'enregistrement</t>
  </si>
  <si>
    <t>*Modification RCCM</t>
  </si>
  <si>
    <t>3-Emoluments de rôles</t>
  </si>
  <si>
    <t xml:space="preserve">*Minutes </t>
  </si>
  <si>
    <t>*Expéditions (03)</t>
  </si>
  <si>
    <t>*Art 135</t>
  </si>
  <si>
    <t>TIMBRES FISCAUX</t>
  </si>
  <si>
    <t>ENREGISTREMENTS</t>
  </si>
  <si>
    <t xml:space="preserve">Modification au Greffe </t>
  </si>
  <si>
    <t>Insertion</t>
  </si>
  <si>
    <t xml:space="preserve">1-Emoluments proportionnels  </t>
  </si>
  <si>
    <t>2- Emoluments de formalités</t>
  </si>
  <si>
    <t>3-Emoluments  de rôles</t>
  </si>
  <si>
    <t>Droit d'enregistrement fixe</t>
  </si>
  <si>
    <t>Depôt de piece</t>
  </si>
  <si>
    <t>1- Emolument proportionnel</t>
  </si>
  <si>
    <t>TOTAL A PAYER DEPÔT DE PIECE PV DECISIONS</t>
  </si>
  <si>
    <t>SOUS-TOTAL</t>
  </si>
  <si>
    <t>Registre des Décisions des Associés ou de l'Associé</t>
  </si>
  <si>
    <t xml:space="preserve"> DEPÔT DE PIECES DU PV DE DECISIONS</t>
  </si>
  <si>
    <t>Enregistement (Droit proportionnel)</t>
  </si>
  <si>
    <t>TOTAL A PAYER POUR LA MISE A JOUR DES STATUTS</t>
  </si>
  <si>
    <t>MONTANT: 293 120 000</t>
  </si>
  <si>
    <t>Timbres fiscaux ( 02 Expéditions)</t>
  </si>
  <si>
    <t>Timbres Fiscaux (02 Expeditions)</t>
  </si>
  <si>
    <t>*Expéditions (02)</t>
  </si>
  <si>
    <t>Timbres Fiscaux (02 xpéditions)</t>
  </si>
  <si>
    <t>QUATRE MILLIONS CINQ CENT TRENTE ET UN  MILLE SIX CENT SOIXANTE  (4.531.660) FRANCS CFA</t>
  </si>
  <si>
    <t xml:space="preserve"> </t>
  </si>
  <si>
    <t xml:space="preserve">Abidjan le </t>
  </si>
  <si>
    <r>
      <rPr>
        <b/>
        <u/>
        <sz val="16"/>
        <color rgb="FF000000"/>
        <rFont val="Calibri"/>
        <family val="2"/>
        <scheme val="minor"/>
      </rPr>
      <t xml:space="preserve">AFFAIRE </t>
    </r>
    <r>
      <rPr>
        <b/>
        <sz val="16"/>
        <color rgb="FF000000"/>
        <rFont val="Calibri"/>
        <family val="2"/>
        <scheme val="minor"/>
      </rPr>
      <t>: AUGMENTATION DE CAPITAL DE LA SOCIETE…....................</t>
    </r>
  </si>
  <si>
    <t>DRC OU DNSV  D'AUGMENTATION DE CAPITAL</t>
  </si>
  <si>
    <t>TOTAL A PAYER POUR LA DRC OU DNSV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</si>
</sst>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€_-;\-* #,##0\ _€_-;_-* &quot;-&quot;??\ _€_-;_-@_-"/>
    <numFmt numFmtId="165" formatCode="_-* #,##0\ _€_-;\-* #,##0\ _€_-;_-* &quot;-&quot;??\ _€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</font>
    <font>
      <sz val="14"/>
      <name val="Calibri"/>
      <family val="2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00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</font>
    <font>
      <b/>
      <u/>
      <sz val="16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BFBFBF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1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indent="13"/>
    </xf>
    <xf numFmtId="0" fontId="2" fillId="0" borderId="0" xfId="0" applyFont="1"/>
    <xf numFmtId="0" fontId="8" fillId="0" borderId="0" xfId="0" applyFont="1"/>
    <xf numFmtId="0" fontId="6" fillId="0" borderId="0" xfId="2" applyFont="1"/>
    <xf numFmtId="0" fontId="9" fillId="0" borderId="1" xfId="2" applyFont="1" applyBorder="1"/>
    <xf numFmtId="165" fontId="9" fillId="0" borderId="1" xfId="2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2" applyFont="1"/>
    <xf numFmtId="165" fontId="13" fillId="0" borderId="0" xfId="2" applyNumberFormat="1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2" fillId="0" borderId="0" xfId="0" applyFont="1"/>
    <xf numFmtId="164" fontId="12" fillId="0" borderId="0" xfId="0" applyNumberFormat="1" applyFont="1"/>
    <xf numFmtId="0" fontId="12" fillId="0" borderId="6" xfId="0" applyFont="1" applyBorder="1"/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21" fillId="2" borderId="8" xfId="0" applyFont="1" applyFill="1" applyBorder="1"/>
    <xf numFmtId="164" fontId="8" fillId="2" borderId="3" xfId="1" applyNumberFormat="1" applyFont="1" applyFill="1" applyBorder="1"/>
    <xf numFmtId="0" fontId="21" fillId="2" borderId="8" xfId="0" applyFont="1" applyFill="1" applyBorder="1" applyAlignment="1">
      <alignment vertical="center" wrapText="1"/>
    </xf>
    <xf numFmtId="164" fontId="8" fillId="2" borderId="3" xfId="1" applyNumberFormat="1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8" fillId="0" borderId="3" xfId="1" applyNumberFormat="1" applyFont="1" applyBorder="1" applyAlignment="1">
      <alignment vertical="center"/>
    </xf>
    <xf numFmtId="0" fontId="8" fillId="0" borderId="8" xfId="0" applyFont="1" applyBorder="1"/>
    <xf numFmtId="164" fontId="8" fillId="0" borderId="3" xfId="1" applyNumberFormat="1" applyFont="1" applyBorder="1"/>
    <xf numFmtId="164" fontId="12" fillId="0" borderId="1" xfId="1" applyNumberFormat="1" applyFont="1" applyBorder="1"/>
    <xf numFmtId="0" fontId="12" fillId="0" borderId="10" xfId="0" applyFont="1" applyBorder="1"/>
    <xf numFmtId="164" fontId="12" fillId="0" borderId="5" xfId="1" applyNumberFormat="1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8" fillId="0" borderId="0" xfId="0" applyNumberFormat="1" applyFont="1"/>
    <xf numFmtId="0" fontId="5" fillId="0" borderId="8" xfId="2" applyFont="1" applyBorder="1" applyAlignment="1">
      <alignment horizontal="left"/>
    </xf>
    <xf numFmtId="0" fontId="23" fillId="0" borderId="1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4" fillId="0" borderId="8" xfId="0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/>
    </xf>
    <xf numFmtId="3" fontId="21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8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3" fontId="24" fillId="0" borderId="4" xfId="0" applyNumberFormat="1" applyFont="1" applyBorder="1" applyAlignment="1">
      <alignment horizontal="center" vertical="center"/>
    </xf>
    <xf numFmtId="0" fontId="5" fillId="0" borderId="8" xfId="2" applyFont="1" applyBorder="1"/>
    <xf numFmtId="3" fontId="24" fillId="0" borderId="3" xfId="0" applyNumberFormat="1" applyFont="1" applyBorder="1" applyAlignment="1">
      <alignment horizontal="center" vertical="center"/>
    </xf>
    <xf numFmtId="3" fontId="23" fillId="0" borderId="4" xfId="0" applyNumberFormat="1" applyFont="1" applyBorder="1" applyAlignment="1">
      <alignment horizontal="center" vertical="center"/>
    </xf>
    <xf numFmtId="3" fontId="14" fillId="0" borderId="2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5" fontId="13" fillId="0" borderId="0" xfId="2" applyNumberFormat="1" applyFont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8" fillId="2" borderId="0" xfId="1" applyNumberFormat="1" applyFont="1" applyFill="1" applyBorder="1" applyAlignment="1">
      <alignment horizontal="center"/>
    </xf>
    <xf numFmtId="164" fontId="8" fillId="2" borderId="0" xfId="1" applyNumberFormat="1" applyFont="1" applyFill="1" applyBorder="1" applyAlignment="1">
      <alignment horizontal="center" vertical="center"/>
    </xf>
    <xf numFmtId="164" fontId="8" fillId="0" borderId="0" xfId="1" applyNumberFormat="1" applyFont="1" applyBorder="1" applyAlignment="1">
      <alignment horizontal="center" vertical="center"/>
    </xf>
    <xf numFmtId="164" fontId="8" fillId="0" borderId="0" xfId="1" applyNumberFormat="1" applyFont="1" applyBorder="1" applyAlignment="1">
      <alignment horizontal="center"/>
    </xf>
    <xf numFmtId="164" fontId="12" fillId="0" borderId="9" xfId="1" applyNumberFormat="1" applyFont="1" applyBorder="1" applyAlignment="1">
      <alignment horizontal="center"/>
    </xf>
    <xf numFmtId="164" fontId="12" fillId="0" borderId="12" xfId="1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3" fontId="24" fillId="0" borderId="2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0" xfId="0" applyFont="1"/>
    <xf numFmtId="0" fontId="23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/>
    </xf>
    <xf numFmtId="3" fontId="21" fillId="2" borderId="4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7" fillId="0" borderId="8" xfId="2" applyFont="1" applyBorder="1" applyAlignment="1">
      <alignment vertical="center"/>
    </xf>
    <xf numFmtId="165" fontId="27" fillId="0" borderId="3" xfId="2" applyNumberFormat="1" applyFont="1" applyBorder="1"/>
    <xf numFmtId="165" fontId="27" fillId="0" borderId="3" xfId="2" applyNumberFormat="1" applyFont="1" applyBorder="1" applyAlignment="1">
      <alignment horizontal="center"/>
    </xf>
    <xf numFmtId="165" fontId="27" fillId="0" borderId="4" xfId="2" applyNumberFormat="1" applyFont="1" applyBorder="1" applyAlignment="1">
      <alignment horizontal="center"/>
    </xf>
    <xf numFmtId="165" fontId="6" fillId="0" borderId="3" xfId="2" applyNumberFormat="1" applyFont="1" applyBorder="1"/>
    <xf numFmtId="165" fontId="27" fillId="2" borderId="3" xfId="2" applyNumberFormat="1" applyFont="1" applyFill="1" applyBorder="1"/>
    <xf numFmtId="3" fontId="23" fillId="0" borderId="2" xfId="0" applyNumberFormat="1" applyFont="1" applyBorder="1" applyAlignment="1">
      <alignment horizontal="center" vertical="center"/>
    </xf>
    <xf numFmtId="0" fontId="9" fillId="0" borderId="6" xfId="2" applyFont="1" applyBorder="1"/>
    <xf numFmtId="0" fontId="9" fillId="0" borderId="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0" fontId="27" fillId="0" borderId="8" xfId="2" applyFont="1" applyBorder="1"/>
    <xf numFmtId="165" fontId="27" fillId="0" borderId="5" xfId="2" applyNumberFormat="1" applyFont="1" applyBorder="1"/>
    <xf numFmtId="165" fontId="9" fillId="0" borderId="9" xfId="2" applyNumberFormat="1" applyFont="1" applyBorder="1"/>
    <xf numFmtId="165" fontId="9" fillId="0" borderId="1" xfId="2" applyNumberFormat="1" applyFont="1" applyBorder="1"/>
    <xf numFmtId="165" fontId="9" fillId="0" borderId="2" xfId="2" applyNumberFormat="1" applyFont="1" applyBorder="1"/>
    <xf numFmtId="165" fontId="9" fillId="4" borderId="5" xfId="2" applyNumberFormat="1" applyFont="1" applyFill="1" applyBorder="1" applyAlignment="1">
      <alignment vertical="center"/>
    </xf>
    <xf numFmtId="165" fontId="9" fillId="0" borderId="7" xfId="2" applyNumberFormat="1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0" borderId="4" xfId="0" applyNumberFormat="1" applyFont="1" applyBorder="1" applyAlignment="1">
      <alignment vertical="center"/>
    </xf>
    <xf numFmtId="3" fontId="11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164" fontId="22" fillId="0" borderId="6" xfId="0" applyNumberFormat="1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12" xfId="2" applyFont="1" applyBorder="1" applyAlignment="1">
      <alignment horizontal="right"/>
    </xf>
    <xf numFmtId="3" fontId="11" fillId="0" borderId="6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/>
  </cellXfs>
  <cellStyles count="3">
    <cellStyle name="Millier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0</xdr:row>
      <xdr:rowOff>104774</xdr:rowOff>
    </xdr:from>
    <xdr:to>
      <xdr:col>3</xdr:col>
      <xdr:colOff>781050</xdr:colOff>
      <xdr:row>5</xdr:row>
      <xdr:rowOff>238125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947DE8DF-DD9D-423D-9435-8B1DA0FC8D87}"/>
            </a:ext>
          </a:extLst>
        </xdr:cNvPr>
        <xdr:cNvSpPr>
          <a:spLocks noChangeArrowheads="1"/>
        </xdr:cNvSpPr>
      </xdr:nvSpPr>
      <xdr:spPr bwMode="auto">
        <a:xfrm>
          <a:off x="4648200" y="104774"/>
          <a:ext cx="3333750" cy="1390651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800" b="1" i="0" u="sng" strike="noStrike" baseline="0">
              <a:solidFill>
                <a:srgbClr val="000000"/>
              </a:solidFill>
              <a:latin typeface="Calibri"/>
            </a:rPr>
            <a:t>A L'ATTENTION DE LA SOCIETE</a:t>
          </a:r>
        </a:p>
        <a:p>
          <a:pPr algn="ctr" rtl="0">
            <a:defRPr sz="1000"/>
          </a:pPr>
          <a:endParaRPr lang="fr-FR" sz="1800" b="1" i="0" u="sng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61" workbookViewId="0">
      <selection activeCell="H73" sqref="H73"/>
    </sheetView>
  </sheetViews>
  <sheetFormatPr baseColWidth="10" defaultRowHeight="15" x14ac:dyDescent="0.25"/>
  <cols>
    <col min="1" max="1" width="61.5703125" customWidth="1"/>
    <col min="2" max="2" width="28.140625" customWidth="1"/>
    <col min="3" max="3" width="18.28515625" style="56" customWidth="1"/>
    <col min="4" max="4" width="17.28515625" customWidth="1"/>
  </cols>
  <sheetData>
    <row r="1" spans="1:6" x14ac:dyDescent="0.25">
      <c r="A1" s="1"/>
    </row>
    <row r="2" spans="1:6" ht="21" x14ac:dyDescent="0.35">
      <c r="A2" s="113" t="s">
        <v>0</v>
      </c>
      <c r="B2" s="113"/>
      <c r="C2" s="57"/>
      <c r="D2" s="9"/>
    </row>
    <row r="3" spans="1:6" ht="21" x14ac:dyDescent="0.35">
      <c r="A3" s="8" t="s">
        <v>1</v>
      </c>
      <c r="B3" s="9"/>
      <c r="C3" s="58"/>
      <c r="D3" s="9"/>
    </row>
    <row r="4" spans="1:6" ht="21" x14ac:dyDescent="0.35">
      <c r="A4" s="10" t="s">
        <v>2</v>
      </c>
      <c r="B4" s="9"/>
      <c r="C4" s="57"/>
      <c r="D4" s="9"/>
    </row>
    <row r="5" spans="1:6" ht="21" x14ac:dyDescent="0.35">
      <c r="A5" s="114" t="s">
        <v>3</v>
      </c>
      <c r="B5" s="114"/>
      <c r="C5" s="57"/>
      <c r="D5" s="9"/>
    </row>
    <row r="6" spans="1:6" ht="21" x14ac:dyDescent="0.35">
      <c r="A6" s="10" t="s">
        <v>4</v>
      </c>
      <c r="B6" s="9"/>
      <c r="C6" s="57"/>
      <c r="D6" s="9"/>
    </row>
    <row r="7" spans="1:6" ht="21" x14ac:dyDescent="0.35">
      <c r="A7" s="114" t="s">
        <v>5</v>
      </c>
      <c r="B7" s="114"/>
      <c r="C7" s="57"/>
      <c r="D7" s="9"/>
    </row>
    <row r="8" spans="1:6" ht="21" x14ac:dyDescent="0.35">
      <c r="A8" s="114" t="s">
        <v>6</v>
      </c>
      <c r="B8" s="114"/>
      <c r="C8" s="114"/>
      <c r="D8" s="9"/>
    </row>
    <row r="9" spans="1:6" ht="21" x14ac:dyDescent="0.35">
      <c r="A9" s="10"/>
      <c r="B9" s="10"/>
      <c r="C9" s="10"/>
      <c r="D9" s="9"/>
    </row>
    <row r="10" spans="1:6" ht="21" x14ac:dyDescent="0.35">
      <c r="A10" s="10"/>
      <c r="B10" s="10"/>
      <c r="C10" s="10"/>
      <c r="D10" s="9"/>
    </row>
    <row r="11" spans="1:6" ht="21" x14ac:dyDescent="0.35">
      <c r="A11" s="9"/>
      <c r="B11" s="115"/>
      <c r="C11" s="115"/>
      <c r="D11" s="115"/>
    </row>
    <row r="12" spans="1:6" ht="31.5" customHeight="1" x14ac:dyDescent="0.25">
      <c r="A12" s="10" t="s">
        <v>73</v>
      </c>
      <c r="B12" s="115"/>
      <c r="C12" s="115"/>
      <c r="D12" s="115"/>
      <c r="E12" s="2" t="s">
        <v>7</v>
      </c>
      <c r="F12" t="s">
        <v>72</v>
      </c>
    </row>
    <row r="13" spans="1:6" ht="31.5" customHeight="1" x14ac:dyDescent="0.35">
      <c r="A13" s="10"/>
      <c r="B13" s="9"/>
      <c r="C13" s="9"/>
      <c r="D13" s="9"/>
      <c r="E13" s="2"/>
    </row>
    <row r="14" spans="1:6" ht="23.25" x14ac:dyDescent="0.35">
      <c r="A14" s="10"/>
      <c r="B14" s="9"/>
      <c r="C14" s="9"/>
      <c r="D14" s="9"/>
      <c r="E14" s="2"/>
    </row>
    <row r="15" spans="1:6" ht="23.25" x14ac:dyDescent="0.35">
      <c r="A15" s="10"/>
      <c r="B15" s="9"/>
      <c r="C15" s="9"/>
      <c r="D15" s="9"/>
      <c r="E15" s="2"/>
    </row>
    <row r="16" spans="1:6" ht="21" x14ac:dyDescent="0.25">
      <c r="A16" s="104" t="s">
        <v>74</v>
      </c>
      <c r="B16" s="104"/>
      <c r="C16" s="104"/>
      <c r="D16" s="104"/>
    </row>
    <row r="17" spans="1:4" ht="27" customHeight="1" x14ac:dyDescent="0.35">
      <c r="A17" s="11" t="s">
        <v>25</v>
      </c>
      <c r="B17" s="12"/>
      <c r="C17" s="57"/>
      <c r="D17" s="9"/>
    </row>
    <row r="18" spans="1:4" ht="28.5" customHeight="1" x14ac:dyDescent="0.35">
      <c r="A18" s="8" t="s">
        <v>66</v>
      </c>
      <c r="B18" s="9"/>
      <c r="C18" s="57"/>
      <c r="D18" s="9"/>
    </row>
    <row r="19" spans="1:4" ht="21" x14ac:dyDescent="0.35">
      <c r="A19" s="9"/>
      <c r="B19" s="13"/>
      <c r="C19" s="57"/>
      <c r="D19" s="9"/>
    </row>
    <row r="20" spans="1:4" ht="21.75" thickBot="1" x14ac:dyDescent="0.4">
      <c r="A20" s="110" t="s">
        <v>63</v>
      </c>
      <c r="B20" s="110"/>
      <c r="C20" s="5"/>
      <c r="D20" s="5"/>
    </row>
    <row r="21" spans="1:4" ht="19.5" thickBot="1" x14ac:dyDescent="0.35">
      <c r="A21" s="88" t="s">
        <v>8</v>
      </c>
      <c r="B21" s="89" t="s">
        <v>9</v>
      </c>
      <c r="C21" s="89" t="s">
        <v>10</v>
      </c>
      <c r="D21" s="90" t="s">
        <v>11</v>
      </c>
    </row>
    <row r="22" spans="1:4" ht="18.75" x14ac:dyDescent="0.3">
      <c r="A22" s="42" t="s">
        <v>33</v>
      </c>
      <c r="B22" s="91"/>
      <c r="C22" s="91"/>
      <c r="D22" s="92"/>
    </row>
    <row r="23" spans="1:4" ht="25.5" customHeight="1" x14ac:dyDescent="0.3">
      <c r="A23" s="93" t="s">
        <v>24</v>
      </c>
      <c r="B23" s="82"/>
      <c r="C23" s="83">
        <v>5000</v>
      </c>
      <c r="D23" s="84"/>
    </row>
    <row r="24" spans="1:4" ht="25.5" customHeight="1" x14ac:dyDescent="0.3">
      <c r="A24" s="93" t="s">
        <v>67</v>
      </c>
      <c r="B24" s="82"/>
      <c r="C24" s="83">
        <v>10000</v>
      </c>
      <c r="D24" s="84"/>
    </row>
    <row r="25" spans="1:4" ht="24.75" customHeight="1" x14ac:dyDescent="0.3">
      <c r="A25" s="93" t="s">
        <v>57</v>
      </c>
      <c r="B25" s="82"/>
      <c r="C25" s="83">
        <v>25000</v>
      </c>
      <c r="D25" s="84"/>
    </row>
    <row r="26" spans="1:4" ht="24.75" customHeight="1" x14ac:dyDescent="0.3">
      <c r="A26" s="93" t="s">
        <v>58</v>
      </c>
      <c r="B26" s="82"/>
      <c r="C26" s="83">
        <v>25000</v>
      </c>
      <c r="D26" s="84"/>
    </row>
    <row r="27" spans="1:4" ht="23.25" customHeight="1" x14ac:dyDescent="0.3">
      <c r="A27" s="93" t="s">
        <v>21</v>
      </c>
      <c r="B27" s="82"/>
      <c r="C27" s="83">
        <v>500</v>
      </c>
      <c r="D27" s="84"/>
    </row>
    <row r="28" spans="1:4" ht="25.5" customHeight="1" x14ac:dyDescent="0.3">
      <c r="A28" s="52" t="s">
        <v>9</v>
      </c>
      <c r="B28" s="82"/>
      <c r="C28" s="83"/>
      <c r="D28" s="84"/>
    </row>
    <row r="29" spans="1:4" ht="27.75" customHeight="1" x14ac:dyDescent="0.3">
      <c r="A29" s="81" t="s">
        <v>59</v>
      </c>
      <c r="B29" s="86">
        <v>300000</v>
      </c>
      <c r="C29" s="83"/>
      <c r="D29" s="84"/>
    </row>
    <row r="30" spans="1:4" ht="24" customHeight="1" x14ac:dyDescent="0.3">
      <c r="A30" s="81" t="s">
        <v>55</v>
      </c>
      <c r="B30" s="82"/>
      <c r="C30" s="83"/>
      <c r="D30" s="84"/>
    </row>
    <row r="31" spans="1:4" ht="22.5" customHeight="1" x14ac:dyDescent="0.3">
      <c r="A31" s="81" t="s">
        <v>44</v>
      </c>
      <c r="B31" s="82">
        <v>1000</v>
      </c>
      <c r="C31" s="83"/>
      <c r="D31" s="84"/>
    </row>
    <row r="32" spans="1:4" ht="23.25" customHeight="1" x14ac:dyDescent="0.3">
      <c r="A32" s="81" t="s">
        <v>56</v>
      </c>
      <c r="B32" s="82"/>
      <c r="C32" s="83"/>
      <c r="D32" s="84"/>
    </row>
    <row r="33" spans="1:4" ht="23.25" customHeight="1" x14ac:dyDescent="0.3">
      <c r="A33" s="32" t="s">
        <v>47</v>
      </c>
      <c r="B33" s="85">
        <v>5000</v>
      </c>
      <c r="C33" s="83"/>
      <c r="D33" s="84"/>
    </row>
    <row r="34" spans="1:4" ht="23.25" customHeight="1" x14ac:dyDescent="0.3">
      <c r="A34" s="32" t="s">
        <v>48</v>
      </c>
      <c r="B34" s="82">
        <v>10000</v>
      </c>
      <c r="C34" s="83"/>
      <c r="D34" s="84"/>
    </row>
    <row r="35" spans="1:4" ht="24" customHeight="1" x14ac:dyDescent="0.3">
      <c r="A35" s="81" t="s">
        <v>20</v>
      </c>
      <c r="B35" s="86"/>
      <c r="C35" s="83"/>
      <c r="D35" s="84">
        <v>20000</v>
      </c>
    </row>
    <row r="36" spans="1:4" ht="22.5" customHeight="1" thickBot="1" x14ac:dyDescent="0.35">
      <c r="A36" s="81" t="s">
        <v>19</v>
      </c>
      <c r="B36" s="94"/>
      <c r="C36" s="83"/>
      <c r="D36" s="84">
        <v>50000</v>
      </c>
    </row>
    <row r="37" spans="1:4" ht="32.25" customHeight="1" thickBot="1" x14ac:dyDescent="0.35">
      <c r="A37" s="6" t="s">
        <v>13</v>
      </c>
      <c r="B37" s="95">
        <f>SUM(B27:B36)</f>
        <v>316000</v>
      </c>
      <c r="C37" s="96">
        <f>SUM(C23:C36)</f>
        <v>65500</v>
      </c>
      <c r="D37" s="97">
        <f>SUM(D35:D36)</f>
        <v>70000</v>
      </c>
    </row>
    <row r="38" spans="1:4" ht="33" customHeight="1" thickBot="1" x14ac:dyDescent="0.35">
      <c r="A38" s="88" t="s">
        <v>60</v>
      </c>
      <c r="B38" s="7"/>
      <c r="C38" s="98">
        <f>+B37+C37+D37</f>
        <v>451500</v>
      </c>
      <c r="D38" s="99"/>
    </row>
    <row r="39" spans="1:4" ht="21" x14ac:dyDescent="0.35">
      <c r="A39" s="9"/>
      <c r="B39" s="13"/>
      <c r="C39" s="57"/>
      <c r="D39" s="9"/>
    </row>
    <row r="40" spans="1:4" ht="21" x14ac:dyDescent="0.35">
      <c r="A40" s="9"/>
      <c r="B40" s="13"/>
      <c r="C40" s="57"/>
      <c r="D40" s="9"/>
    </row>
    <row r="41" spans="1:4" ht="21" x14ac:dyDescent="0.35">
      <c r="A41" s="9"/>
      <c r="B41" s="13"/>
      <c r="C41" s="57"/>
      <c r="D41" s="9"/>
    </row>
    <row r="42" spans="1:4" ht="21" x14ac:dyDescent="0.35">
      <c r="A42" s="9"/>
      <c r="B42" s="13"/>
      <c r="C42" s="57"/>
      <c r="D42" s="9"/>
    </row>
    <row r="43" spans="1:4" ht="21" x14ac:dyDescent="0.35">
      <c r="A43" s="9"/>
      <c r="B43" s="13"/>
      <c r="C43" s="57"/>
      <c r="D43" s="9"/>
    </row>
    <row r="44" spans="1:4" ht="27" thickBot="1" x14ac:dyDescent="0.45">
      <c r="A44" s="109" t="s">
        <v>75</v>
      </c>
      <c r="B44" s="109"/>
      <c r="C44" s="72"/>
      <c r="D44" s="72"/>
    </row>
    <row r="45" spans="1:4" ht="19.5" thickBot="1" x14ac:dyDescent="0.3">
      <c r="A45" s="73" t="s">
        <v>8</v>
      </c>
      <c r="B45" s="74" t="s">
        <v>9</v>
      </c>
      <c r="C45" s="74" t="s">
        <v>10</v>
      </c>
      <c r="D45" s="74" t="s">
        <v>11</v>
      </c>
    </row>
    <row r="46" spans="1:4" ht="18.75" x14ac:dyDescent="0.25">
      <c r="A46" s="75" t="s">
        <v>50</v>
      </c>
      <c r="B46" s="44"/>
      <c r="C46" s="44"/>
      <c r="D46" s="44"/>
    </row>
    <row r="47" spans="1:4" ht="18.75" x14ac:dyDescent="0.25">
      <c r="A47" s="76" t="s">
        <v>34</v>
      </c>
      <c r="B47" s="48"/>
      <c r="C47" s="47">
        <v>10000</v>
      </c>
      <c r="D47" s="48"/>
    </row>
    <row r="48" spans="1:4" ht="18.75" x14ac:dyDescent="0.25">
      <c r="A48" s="76" t="s">
        <v>68</v>
      </c>
      <c r="B48" s="48"/>
      <c r="C48" s="47">
        <v>20000</v>
      </c>
      <c r="D48" s="48"/>
    </row>
    <row r="49" spans="1:4" ht="18.75" x14ac:dyDescent="0.25">
      <c r="A49" s="77" t="s">
        <v>51</v>
      </c>
      <c r="B49" s="48"/>
      <c r="C49" s="47"/>
      <c r="D49" s="48"/>
    </row>
    <row r="50" spans="1:4" ht="18.75" x14ac:dyDescent="0.25">
      <c r="A50" s="78" t="s">
        <v>64</v>
      </c>
      <c r="B50" s="48"/>
      <c r="C50" s="79">
        <v>879360</v>
      </c>
      <c r="D50" s="48"/>
    </row>
    <row r="51" spans="1:4" ht="18.75" x14ac:dyDescent="0.25">
      <c r="A51" s="78" t="s">
        <v>21</v>
      </c>
      <c r="B51" s="48"/>
      <c r="C51" s="47">
        <v>500</v>
      </c>
      <c r="D51" s="48"/>
    </row>
    <row r="52" spans="1:4" ht="18.75" x14ac:dyDescent="0.25">
      <c r="A52" s="75" t="s">
        <v>38</v>
      </c>
      <c r="B52" s="48"/>
      <c r="C52" s="47"/>
      <c r="D52" s="48"/>
    </row>
    <row r="53" spans="1:4" ht="18.75" x14ac:dyDescent="0.25">
      <c r="A53" s="78" t="s">
        <v>40</v>
      </c>
      <c r="B53" s="48"/>
      <c r="C53" s="47"/>
      <c r="D53" s="51"/>
    </row>
    <row r="54" spans="1:4" ht="18.75" x14ac:dyDescent="0.25">
      <c r="A54" s="78" t="s">
        <v>52</v>
      </c>
      <c r="B54" s="48"/>
      <c r="C54" s="51"/>
      <c r="D54" s="51"/>
    </row>
    <row r="55" spans="1:4" ht="18.75" x14ac:dyDescent="0.25">
      <c r="A55" s="78" t="s">
        <v>53</v>
      </c>
      <c r="B55" s="48"/>
      <c r="C55" s="48"/>
      <c r="D55" s="51"/>
    </row>
    <row r="56" spans="1:4" ht="18.75" x14ac:dyDescent="0.25">
      <c r="A56" s="75" t="s">
        <v>9</v>
      </c>
      <c r="B56" s="48"/>
      <c r="C56" s="48"/>
      <c r="D56" s="51"/>
    </row>
    <row r="57" spans="1:4" ht="18.75" x14ac:dyDescent="0.25">
      <c r="A57" s="80" t="s">
        <v>54</v>
      </c>
      <c r="B57" s="102">
        <v>50000</v>
      </c>
      <c r="C57" s="48"/>
      <c r="D57" s="51"/>
    </row>
    <row r="58" spans="1:4" ht="18.75" x14ac:dyDescent="0.3">
      <c r="A58" s="81" t="s">
        <v>55</v>
      </c>
      <c r="B58" s="82"/>
      <c r="C58" s="83"/>
      <c r="D58" s="84"/>
    </row>
    <row r="59" spans="1:4" ht="22.5" customHeight="1" x14ac:dyDescent="0.3">
      <c r="A59" s="81" t="s">
        <v>44</v>
      </c>
      <c r="B59" s="82">
        <v>1000</v>
      </c>
      <c r="C59" s="83"/>
      <c r="D59" s="84"/>
    </row>
    <row r="60" spans="1:4" ht="19.5" customHeight="1" x14ac:dyDescent="0.3">
      <c r="A60" s="81" t="s">
        <v>56</v>
      </c>
      <c r="B60" s="82"/>
      <c r="C60" s="83"/>
      <c r="D60" s="84"/>
    </row>
    <row r="61" spans="1:4" ht="18.75" x14ac:dyDescent="0.3">
      <c r="A61" s="32" t="s">
        <v>47</v>
      </c>
      <c r="B61" s="85">
        <v>10000</v>
      </c>
      <c r="C61" s="83"/>
      <c r="D61" s="84"/>
    </row>
    <row r="62" spans="1:4" ht="18.75" x14ac:dyDescent="0.3">
      <c r="A62" s="32" t="s">
        <v>69</v>
      </c>
      <c r="B62" s="82">
        <v>20000</v>
      </c>
      <c r="C62" s="83"/>
      <c r="D62" s="84"/>
    </row>
    <row r="63" spans="1:4" ht="18.75" x14ac:dyDescent="0.3">
      <c r="A63" s="81" t="s">
        <v>20</v>
      </c>
      <c r="B63" s="86"/>
      <c r="C63" s="83"/>
      <c r="D63" s="84">
        <v>20000</v>
      </c>
    </row>
    <row r="64" spans="1:4" ht="19.5" thickBot="1" x14ac:dyDescent="0.3">
      <c r="A64" s="78" t="s">
        <v>12</v>
      </c>
      <c r="B64" s="48"/>
      <c r="C64" s="48"/>
      <c r="D64" s="51">
        <v>100000</v>
      </c>
    </row>
    <row r="65" spans="1:4" ht="19.5" thickBot="1" x14ac:dyDescent="0.3">
      <c r="A65" s="73" t="s">
        <v>13</v>
      </c>
      <c r="B65" s="87">
        <f>SUM(B51:B64)</f>
        <v>81000</v>
      </c>
      <c r="C65" s="87">
        <f>SUM(C47:C64)</f>
        <v>909860</v>
      </c>
      <c r="D65" s="87">
        <f>SUM(D53:D64)</f>
        <v>120000</v>
      </c>
    </row>
    <row r="66" spans="1:4" ht="21.75" thickBot="1" x14ac:dyDescent="0.3">
      <c r="A66" s="16" t="s">
        <v>76</v>
      </c>
      <c r="B66" s="103">
        <f>B65+C65+D65</f>
        <v>1110860</v>
      </c>
      <c r="C66" s="103"/>
      <c r="D66" s="55"/>
    </row>
    <row r="67" spans="1:4" ht="21" x14ac:dyDescent="0.35">
      <c r="A67" s="9"/>
      <c r="B67" s="9"/>
      <c r="C67" s="57"/>
      <c r="D67" s="9"/>
    </row>
    <row r="68" spans="1:4" ht="21.75" thickBot="1" x14ac:dyDescent="0.4">
      <c r="A68" s="9"/>
      <c r="B68" s="13" t="s">
        <v>18</v>
      </c>
      <c r="C68" s="57"/>
      <c r="D68" s="15"/>
    </row>
    <row r="69" spans="1:4" s="3" customFormat="1" ht="27.75" customHeight="1" thickBot="1" x14ac:dyDescent="0.3">
      <c r="A69" s="16" t="s">
        <v>8</v>
      </c>
      <c r="B69" s="17" t="s">
        <v>9</v>
      </c>
      <c r="C69" s="18" t="s">
        <v>10</v>
      </c>
      <c r="D69" s="19" t="s">
        <v>11</v>
      </c>
    </row>
    <row r="70" spans="1:4" ht="18.75" x14ac:dyDescent="0.3">
      <c r="A70" s="42" t="s">
        <v>33</v>
      </c>
      <c r="B70" s="43"/>
      <c r="C70" s="44"/>
      <c r="D70" s="44"/>
    </row>
    <row r="71" spans="1:4" ht="18.75" x14ac:dyDescent="0.25">
      <c r="A71" s="45" t="s">
        <v>34</v>
      </c>
      <c r="B71" s="46"/>
      <c r="C71" s="47">
        <v>20000</v>
      </c>
      <c r="D71" s="48"/>
    </row>
    <row r="72" spans="1:4" ht="18.75" x14ac:dyDescent="0.25">
      <c r="A72" s="45" t="s">
        <v>70</v>
      </c>
      <c r="B72" s="46"/>
      <c r="C72" s="47">
        <v>40000</v>
      </c>
      <c r="D72" s="48"/>
    </row>
    <row r="73" spans="1:4" ht="18.75" x14ac:dyDescent="0.25">
      <c r="A73" s="49" t="s">
        <v>35</v>
      </c>
      <c r="B73" s="46"/>
      <c r="C73" s="47">
        <v>25000</v>
      </c>
      <c r="D73" s="48"/>
    </row>
    <row r="74" spans="1:4" ht="18.75" x14ac:dyDescent="0.25">
      <c r="A74" s="49" t="s">
        <v>21</v>
      </c>
      <c r="B74" s="46"/>
      <c r="C74" s="47">
        <v>500</v>
      </c>
      <c r="D74" s="48"/>
    </row>
    <row r="75" spans="1:4" ht="18.75" x14ac:dyDescent="0.25">
      <c r="A75" s="50" t="s">
        <v>36</v>
      </c>
      <c r="B75" s="46"/>
      <c r="C75" s="47"/>
      <c r="D75" s="48"/>
    </row>
    <row r="76" spans="1:4" ht="18.75" x14ac:dyDescent="0.25">
      <c r="A76" s="49" t="s">
        <v>37</v>
      </c>
      <c r="B76" s="46"/>
      <c r="C76" s="47"/>
      <c r="D76" s="48"/>
    </row>
    <row r="77" spans="1:4" ht="18.75" x14ac:dyDescent="0.25">
      <c r="A77" s="50" t="s">
        <v>38</v>
      </c>
      <c r="B77" s="46"/>
      <c r="C77" s="47"/>
      <c r="D77" s="48"/>
    </row>
    <row r="78" spans="1:4" ht="18.75" x14ac:dyDescent="0.25">
      <c r="A78" s="49" t="s">
        <v>39</v>
      </c>
      <c r="B78" s="46"/>
      <c r="C78" s="47">
        <v>25000</v>
      </c>
      <c r="D78" s="51"/>
    </row>
    <row r="79" spans="1:4" ht="18.75" x14ac:dyDescent="0.3">
      <c r="A79" s="49" t="s">
        <v>40</v>
      </c>
      <c r="B79" s="46"/>
      <c r="C79" s="60">
        <v>15000</v>
      </c>
      <c r="D79" s="47"/>
    </row>
    <row r="80" spans="1:4" ht="18.75" x14ac:dyDescent="0.3">
      <c r="A80" s="49" t="s">
        <v>41</v>
      </c>
      <c r="B80" s="46">
        <v>15000</v>
      </c>
      <c r="C80" s="61">
        <v>25000</v>
      </c>
      <c r="D80" s="47"/>
    </row>
    <row r="81" spans="1:4" ht="18.75" x14ac:dyDescent="0.3">
      <c r="A81" s="52" t="s">
        <v>9</v>
      </c>
      <c r="B81" s="46"/>
      <c r="C81" s="47"/>
      <c r="D81" s="51"/>
    </row>
    <row r="82" spans="1:4" ht="18.75" x14ac:dyDescent="0.25">
      <c r="A82" s="49" t="s">
        <v>42</v>
      </c>
      <c r="B82" s="101">
        <v>2087800</v>
      </c>
      <c r="C82" s="54"/>
      <c r="D82" s="48"/>
    </row>
    <row r="83" spans="1:4" ht="18.75" x14ac:dyDescent="0.25">
      <c r="A83" s="49" t="s">
        <v>43</v>
      </c>
      <c r="B83" s="53"/>
      <c r="C83" s="54"/>
      <c r="D83" s="48"/>
    </row>
    <row r="84" spans="1:4" ht="18.75" x14ac:dyDescent="0.25">
      <c r="A84" s="49" t="s">
        <v>44</v>
      </c>
      <c r="B84" s="53">
        <v>1000</v>
      </c>
      <c r="C84" s="54"/>
      <c r="D84" s="48"/>
    </row>
    <row r="85" spans="1:4" ht="18.75" x14ac:dyDescent="0.25">
      <c r="A85" s="49" t="s">
        <v>45</v>
      </c>
      <c r="B85" s="53">
        <v>15000</v>
      </c>
      <c r="C85" s="54"/>
      <c r="D85" s="48"/>
    </row>
    <row r="86" spans="1:4" ht="18.75" x14ac:dyDescent="0.25">
      <c r="A86" s="49" t="s">
        <v>40</v>
      </c>
      <c r="B86" s="53">
        <v>15000</v>
      </c>
      <c r="C86" s="54"/>
      <c r="D86" s="48"/>
    </row>
    <row r="87" spans="1:4" ht="18.75" x14ac:dyDescent="0.25">
      <c r="A87" s="49" t="s">
        <v>46</v>
      </c>
      <c r="B87" s="53"/>
      <c r="C87" s="54"/>
      <c r="D87" s="48"/>
    </row>
    <row r="88" spans="1:4" ht="18.75" x14ac:dyDescent="0.3">
      <c r="A88" s="34" t="s">
        <v>47</v>
      </c>
      <c r="B88" s="53">
        <v>20000</v>
      </c>
      <c r="C88" s="54"/>
      <c r="D88" s="48"/>
    </row>
    <row r="89" spans="1:4" ht="18.75" x14ac:dyDescent="0.3">
      <c r="A89" s="34" t="s">
        <v>69</v>
      </c>
      <c r="B89" s="53">
        <v>40000</v>
      </c>
      <c r="C89" s="54"/>
      <c r="D89" s="48"/>
    </row>
    <row r="90" spans="1:4" ht="24" customHeight="1" x14ac:dyDescent="0.25">
      <c r="A90" s="49" t="s">
        <v>49</v>
      </c>
      <c r="B90" s="53"/>
      <c r="C90" s="48"/>
      <c r="D90" s="51">
        <v>20000</v>
      </c>
    </row>
    <row r="91" spans="1:4" ht="24" customHeight="1" thickBot="1" x14ac:dyDescent="0.3">
      <c r="A91" s="49" t="s">
        <v>12</v>
      </c>
      <c r="B91" s="46"/>
      <c r="C91" s="48"/>
      <c r="D91" s="51">
        <v>150000</v>
      </c>
    </row>
    <row r="92" spans="1:4" ht="29.25" customHeight="1" thickBot="1" x14ac:dyDescent="0.3">
      <c r="A92" s="100" t="s">
        <v>61</v>
      </c>
      <c r="B92" s="69">
        <f>SUM(B80:B91)</f>
        <v>2193800</v>
      </c>
      <c r="C92" s="71">
        <f>SUM(C70:C91)</f>
        <v>150500</v>
      </c>
      <c r="D92" s="70">
        <f>SUM(D90:D91)</f>
        <v>170000</v>
      </c>
    </row>
    <row r="93" spans="1:4" ht="27.75" customHeight="1" thickBot="1" x14ac:dyDescent="0.3">
      <c r="A93" s="73" t="s">
        <v>65</v>
      </c>
      <c r="B93" s="111">
        <f>B92+C92+D92</f>
        <v>2514300</v>
      </c>
      <c r="C93" s="103"/>
      <c r="D93" s="112"/>
    </row>
    <row r="94" spans="1:4" ht="21" x14ac:dyDescent="0.35">
      <c r="A94" s="14"/>
      <c r="B94" s="15"/>
      <c r="C94" s="59"/>
      <c r="D94" s="15"/>
    </row>
    <row r="95" spans="1:4" ht="19.5" thickBot="1" x14ac:dyDescent="0.35">
      <c r="A95" s="23" t="s">
        <v>17</v>
      </c>
      <c r="B95" s="24"/>
      <c r="C95" s="62"/>
      <c r="D95" s="4"/>
    </row>
    <row r="96" spans="1:4" ht="19.5" thickBot="1" x14ac:dyDescent="0.35">
      <c r="A96" s="25" t="s">
        <v>8</v>
      </c>
      <c r="B96" s="26" t="s">
        <v>9</v>
      </c>
      <c r="C96" s="27" t="s">
        <v>10</v>
      </c>
      <c r="D96" s="26" t="s">
        <v>11</v>
      </c>
    </row>
    <row r="97" spans="1:4" ht="25.5" customHeight="1" x14ac:dyDescent="0.3">
      <c r="A97" s="28" t="s">
        <v>27</v>
      </c>
      <c r="B97" s="29"/>
      <c r="C97" s="63"/>
      <c r="D97" s="29">
        <v>60000</v>
      </c>
    </row>
    <row r="98" spans="1:4" ht="26.25" customHeight="1" x14ac:dyDescent="0.3">
      <c r="A98" s="28" t="s">
        <v>28</v>
      </c>
      <c r="B98" s="29"/>
      <c r="C98" s="63"/>
      <c r="D98" s="29">
        <v>60000</v>
      </c>
    </row>
    <row r="99" spans="1:4" ht="27" customHeight="1" x14ac:dyDescent="0.3">
      <c r="A99" s="28" t="s">
        <v>29</v>
      </c>
      <c r="B99" s="29"/>
      <c r="C99" s="63"/>
      <c r="D99" s="29">
        <v>60000</v>
      </c>
    </row>
    <row r="100" spans="1:4" ht="43.5" customHeight="1" x14ac:dyDescent="0.25">
      <c r="A100" s="30" t="s">
        <v>62</v>
      </c>
      <c r="B100" s="31"/>
      <c r="C100" s="64"/>
      <c r="D100" s="31">
        <v>55000</v>
      </c>
    </row>
    <row r="101" spans="1:4" ht="18.75" x14ac:dyDescent="0.25">
      <c r="A101" s="30" t="s">
        <v>22</v>
      </c>
      <c r="B101" s="31"/>
      <c r="C101" s="64"/>
      <c r="D101" s="31">
        <v>60000</v>
      </c>
    </row>
    <row r="102" spans="1:4" ht="24" customHeight="1" x14ac:dyDescent="0.25">
      <c r="A102" s="32" t="s">
        <v>30</v>
      </c>
      <c r="B102" s="33"/>
      <c r="C102" s="65"/>
      <c r="D102" s="33">
        <v>130000</v>
      </c>
    </row>
    <row r="103" spans="1:4" ht="26.25" customHeight="1" thickBot="1" x14ac:dyDescent="0.35">
      <c r="A103" s="34" t="s">
        <v>16</v>
      </c>
      <c r="B103" s="35"/>
      <c r="C103" s="66"/>
      <c r="D103" s="35">
        <v>30000</v>
      </c>
    </row>
    <row r="104" spans="1:4" ht="34.5" customHeight="1" thickBot="1" x14ac:dyDescent="0.35">
      <c r="A104" s="25" t="s">
        <v>13</v>
      </c>
      <c r="B104" s="36">
        <f>SUM(B97:B103)</f>
        <v>0</v>
      </c>
      <c r="C104" s="67">
        <f>SUM(C97:C103)</f>
        <v>0</v>
      </c>
      <c r="D104" s="36">
        <f>SUM(D97:D103)</f>
        <v>455000</v>
      </c>
    </row>
    <row r="105" spans="1:4" ht="33" customHeight="1" thickBot="1" x14ac:dyDescent="0.35">
      <c r="A105" s="37" t="s">
        <v>31</v>
      </c>
      <c r="B105" s="38"/>
      <c r="C105" s="68">
        <f>+B104+C104+D104</f>
        <v>455000</v>
      </c>
      <c r="D105" s="38"/>
    </row>
    <row r="106" spans="1:4" ht="39" customHeight="1" thickBot="1" x14ac:dyDescent="0.3">
      <c r="A106" s="39" t="s">
        <v>32</v>
      </c>
      <c r="B106" s="105">
        <f>C105+B93+B66+C38</f>
        <v>4531660</v>
      </c>
      <c r="C106" s="106"/>
      <c r="D106" s="40"/>
    </row>
    <row r="107" spans="1:4" ht="28.5" customHeight="1" x14ac:dyDescent="0.3">
      <c r="A107" s="4" t="s">
        <v>23</v>
      </c>
      <c r="B107" s="4"/>
      <c r="C107" s="62"/>
      <c r="D107" s="41"/>
    </row>
    <row r="108" spans="1:4" ht="18.75" x14ac:dyDescent="0.3">
      <c r="A108" s="107" t="s">
        <v>71</v>
      </c>
      <c r="B108" s="108"/>
      <c r="C108" s="108"/>
      <c r="D108" s="108"/>
    </row>
    <row r="109" spans="1:4" ht="21" x14ac:dyDescent="0.35">
      <c r="A109" s="14"/>
      <c r="B109" s="15"/>
      <c r="C109" s="59"/>
      <c r="D109" s="15"/>
    </row>
    <row r="110" spans="1:4" ht="21" x14ac:dyDescent="0.35">
      <c r="A110" s="20"/>
      <c r="B110" s="20"/>
      <c r="C110" s="13"/>
      <c r="D110" s="20"/>
    </row>
    <row r="111" spans="1:4" ht="21" x14ac:dyDescent="0.35">
      <c r="A111" s="9"/>
      <c r="B111" s="9"/>
      <c r="C111" s="13"/>
      <c r="D111" s="9"/>
    </row>
    <row r="112" spans="1:4" ht="21" x14ac:dyDescent="0.35">
      <c r="A112" s="21" t="s">
        <v>15</v>
      </c>
      <c r="B112" s="22"/>
      <c r="C112" s="57"/>
      <c r="D112" s="9"/>
    </row>
    <row r="113" spans="1:4" ht="21" x14ac:dyDescent="0.35">
      <c r="A113" s="9"/>
      <c r="B113" s="9"/>
      <c r="C113" s="57"/>
      <c r="D113" s="9"/>
    </row>
    <row r="114" spans="1:4" ht="21" x14ac:dyDescent="0.35">
      <c r="A114" s="9" t="s">
        <v>26</v>
      </c>
      <c r="B114" s="9"/>
      <c r="C114" s="57"/>
      <c r="D114" s="9"/>
    </row>
    <row r="115" spans="1:4" x14ac:dyDescent="0.25">
      <c r="A115" s="3" t="s">
        <v>14</v>
      </c>
    </row>
  </sheetData>
  <mergeCells count="12">
    <mergeCell ref="A2:B2"/>
    <mergeCell ref="A5:B5"/>
    <mergeCell ref="A7:B7"/>
    <mergeCell ref="A8:C8"/>
    <mergeCell ref="B11:D12"/>
    <mergeCell ref="B66:C66"/>
    <mergeCell ref="A16:D16"/>
    <mergeCell ref="B106:C106"/>
    <mergeCell ref="A108:D108"/>
    <mergeCell ref="A44:B44"/>
    <mergeCell ref="A20:B20"/>
    <mergeCell ref="B93:D93"/>
  </mergeCells>
  <pageMargins left="0" right="0" top="0.74803149606299213" bottom="0.74803149606299213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Clerc-02</dc:creator>
  <cp:lastModifiedBy>Office</cp:lastModifiedBy>
  <cp:lastPrinted>2026-08-26T14:53:38Z</cp:lastPrinted>
  <dcterms:created xsi:type="dcterms:W3CDTF">2022-10-24T16:13:46Z</dcterms:created>
  <dcterms:modified xsi:type="dcterms:W3CDTF">2026-08-28T16:25:24Z</dcterms:modified>
</cp:coreProperties>
</file>