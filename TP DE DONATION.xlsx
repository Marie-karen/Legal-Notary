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ad\profils$\compta1\Desktop\"/>
    </mc:Choice>
  </mc:AlternateContent>
  <xr:revisionPtr revIDLastSave="0" documentId="8_{C08D353C-146A-40B6-9BBD-290865BEB84E}" xr6:coauthVersionLast="47" xr6:coauthVersionMax="47" xr10:uidLastSave="{00000000-0000-0000-0000-000000000000}"/>
  <bookViews>
    <workbookView xWindow="-120" yWindow="-120" windowWidth="24240" windowHeight="13140" xr2:uid="{9DE289DF-93E1-4053-B2E8-E93AE6CBE2CC}"/>
  </bookViews>
  <sheets>
    <sheet name="TP DONATION N°1" sheetId="4" r:id="rId1"/>
  </sheets>
  <definedNames>
    <definedName name="_xlnm.Print_Area" localSheetId="0">'TP DONATION N°1'!$A$1:$D$52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4" l="1"/>
  <c r="B34" i="4"/>
  <c r="B47" i="4" s="1"/>
  <c r="C26" i="4"/>
  <c r="C47" i="4" s="1"/>
  <c r="B48" i="4" l="1"/>
</calcChain>
</file>

<file path=xl/sharedStrings.xml><?xml version="1.0" encoding="utf-8"?>
<sst xmlns="http://schemas.openxmlformats.org/spreadsheetml/2006/main" count="53" uniqueCount="52">
  <si>
    <t xml:space="preserve">ETUDE DE MAÎTRE KOFFI-ABOUT A. MIREILLE   </t>
  </si>
  <si>
    <t>NOTAIRE</t>
  </si>
  <si>
    <t>01 BP 2341 ABIDJAN 01</t>
  </si>
  <si>
    <t>Tél. : 27 20 22 67 52 /07 08 36 99 46</t>
  </si>
  <si>
    <t xml:space="preserve">Fax : 27 20 32 96 87  </t>
  </si>
  <si>
    <t xml:space="preserve">Régime d’imposition : T E E  </t>
  </si>
  <si>
    <t xml:space="preserve">N°CC : 05 36 640 L                                                               </t>
  </si>
  <si>
    <t xml:space="preserve">            </t>
  </si>
  <si>
    <t>PRIX DE VENTE:</t>
  </si>
  <si>
    <t>BASE DE CALCUL :</t>
  </si>
  <si>
    <t>RUBRIQUES</t>
  </si>
  <si>
    <t>EMOLUMENTS</t>
  </si>
  <si>
    <t>TRESOR</t>
  </si>
  <si>
    <t>DEBOURS</t>
  </si>
  <si>
    <t>TOTAL A PAYER</t>
  </si>
  <si>
    <t>Sauf à parfaire ou à diminuer, veuillez arrêter la présente taxe prévisionnelle à la somme de:</t>
  </si>
  <si>
    <t>Bordereau d'enregistrement</t>
  </si>
  <si>
    <t>ENREGISTREMENT</t>
  </si>
  <si>
    <t>CONSERVATION FONCIERE</t>
  </si>
  <si>
    <t>CADASTRE</t>
  </si>
  <si>
    <t>Taxe foncière (PV x 1,2%+3000)</t>
  </si>
  <si>
    <t>2- Emoluments de formalités</t>
  </si>
  <si>
    <t>Timbres fiscaux (Minutes)</t>
  </si>
  <si>
    <t>Timbres fiscaux (Expéditions)</t>
  </si>
  <si>
    <t>TIMBRES FISCAUX</t>
  </si>
  <si>
    <t>Etat foncier (02)</t>
  </si>
  <si>
    <t>Demande d'extraits Topographiques (01)</t>
  </si>
  <si>
    <t xml:space="preserve">* Emolument art 135 </t>
  </si>
  <si>
    <t>Certificat de mutation foncière (01)</t>
  </si>
  <si>
    <t>Demande de situation fiscale (01)</t>
  </si>
  <si>
    <t>*Emoluments de bordereau d'enregistrement</t>
  </si>
  <si>
    <t>*Emolument de la taxe foncière</t>
  </si>
  <si>
    <t>*Emoluments sur demande d'états fonciers</t>
  </si>
  <si>
    <t>*Emolument sur demande d'attestation de situation fiscale</t>
  </si>
  <si>
    <t xml:space="preserve">Débours divers </t>
  </si>
  <si>
    <t xml:space="preserve">3-Emoluments de rôles </t>
  </si>
  <si>
    <t xml:space="preserve">*Emolument réquisitions foncières </t>
  </si>
  <si>
    <t xml:space="preserve">* Emoluments d'inscription au livre Foncier </t>
  </si>
  <si>
    <t xml:space="preserve">       </t>
  </si>
  <si>
    <t>Droit d'enregistrement (Droit Fixe)</t>
  </si>
  <si>
    <t>Certificat de Localisation</t>
  </si>
  <si>
    <t>4- Emolument du certificat de localisation</t>
  </si>
  <si>
    <t>* Emoluments forfaitaire(demande d'extrait topo)</t>
  </si>
  <si>
    <t>1- Emoluments proportionnels (Base*0,5%)+850000</t>
  </si>
  <si>
    <t>AVEC ABATTEMENT Art 737 du CGI</t>
  </si>
  <si>
    <r>
      <rPr>
        <b/>
        <sz val="14"/>
        <color rgb="FF000000"/>
        <rFont val="Calibri"/>
        <family val="2"/>
        <scheme val="minor"/>
      </rPr>
      <t xml:space="preserve">                                                                                                     Me KOFFI-ABOUT</t>
    </r>
    <r>
      <rPr>
        <sz val="14"/>
        <color rgb="FF000000"/>
        <rFont val="Calibri"/>
        <family val="2"/>
        <scheme val="minor"/>
      </rPr>
      <t xml:space="preserve"> </t>
    </r>
    <r>
      <rPr>
        <b/>
        <sz val="14"/>
        <color rgb="FF000000"/>
        <rFont val="Calibri"/>
        <family val="2"/>
        <scheme val="minor"/>
      </rPr>
      <t>Akoua Mireille</t>
    </r>
  </si>
  <si>
    <t>Droit d'enregistrement (Droit proportionnel  Art 735 du CGI  au taux 4%  )</t>
  </si>
  <si>
    <t>SIX MILLIONS TRENTE QUATRE MILLE NEUF CENT SOIXANTE (6.034.960 ) FRANCS CFA./.</t>
  </si>
  <si>
    <r>
      <rPr>
        <b/>
        <u/>
        <sz val="16"/>
        <color rgb="FF000000"/>
        <rFont val="Calibri"/>
        <family val="2"/>
        <scheme val="minor"/>
      </rPr>
      <t>AFFAIRE</t>
    </r>
    <r>
      <rPr>
        <b/>
        <sz val="16"/>
        <color rgb="FF000000"/>
        <rFont val="Calibri"/>
        <family val="2"/>
        <scheme val="minor"/>
      </rPr>
      <t xml:space="preserve">: DONATION </t>
    </r>
  </si>
  <si>
    <t xml:space="preserve">SITUATION GEOGRAPHIQUE: </t>
  </si>
  <si>
    <t xml:space="preserve">SUPERFICIE: </t>
  </si>
  <si>
    <t>Abidjan le …......................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</si>
</sst>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43" fontId="0" fillId="0" borderId="0" xfId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3"/>
    </xf>
    <xf numFmtId="0" fontId="2" fillId="0" borderId="0" xfId="0" applyFont="1"/>
    <xf numFmtId="0" fontId="0" fillId="2" borderId="0" xfId="0" applyFill="1"/>
    <xf numFmtId="43" fontId="0" fillId="2" borderId="0" xfId="1" applyFont="1" applyFill="1"/>
    <xf numFmtId="0" fontId="0" fillId="0" borderId="0" xfId="0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9" fillId="0" borderId="3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3" fontId="10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43" fontId="8" fillId="0" borderId="0" xfId="1" applyFont="1" applyAlignment="1">
      <alignment horizontal="center"/>
    </xf>
    <xf numFmtId="0" fontId="14" fillId="0" borderId="0" xfId="0" applyFont="1" applyAlignment="1">
      <alignment horizontal="left" vertical="center" indent="13"/>
    </xf>
    <xf numFmtId="0" fontId="16" fillId="0" borderId="0" xfId="0" applyFont="1"/>
    <xf numFmtId="43" fontId="16" fillId="0" borderId="0" xfId="1" applyFont="1"/>
    <xf numFmtId="164" fontId="9" fillId="2" borderId="0" xfId="1" applyNumberFormat="1" applyFont="1" applyFill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11" fillId="2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2" borderId="9" xfId="0" applyFont="1" applyFill="1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9" fillId="0" borderId="0" xfId="1" applyNumberFormat="1" applyFont="1" applyBorder="1" applyAlignment="1">
      <alignment horizontal="right" vertical="center"/>
    </xf>
    <xf numFmtId="164" fontId="9" fillId="2" borderId="12" xfId="1" applyNumberFormat="1" applyFont="1" applyFill="1" applyBorder="1" applyAlignment="1">
      <alignment vertical="center"/>
    </xf>
    <xf numFmtId="3" fontId="9" fillId="0" borderId="3" xfId="0" applyNumberFormat="1" applyFont="1" applyBorder="1" applyAlignment="1">
      <alignment vertical="center"/>
    </xf>
    <xf numFmtId="3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4" fillId="0" borderId="0" xfId="0" applyFont="1"/>
    <xf numFmtId="3" fontId="14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3" fontId="10" fillId="0" borderId="4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/>
    <xf numFmtId="0" fontId="14" fillId="0" borderId="0" xfId="0" applyFont="1" applyAlignment="1">
      <alignment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364275</xdr:colOff>
      <xdr:row>0</xdr:row>
      <xdr:rowOff>96411</xdr:rowOff>
    </xdr:from>
    <xdr:to>
      <xdr:col>3</xdr:col>
      <xdr:colOff>1866900</xdr:colOff>
      <xdr:row>5</xdr:row>
      <xdr:rowOff>180976</xdr:rowOff>
    </xdr:to>
    <xdr:sp macro="" textlink="">
      <xdr:nvSpPr>
        <xdr:cNvPr id="2" name="Rectangle à coins arrondis 2">
          <a:extLst>
            <a:ext uri="{FF2B5EF4-FFF2-40B4-BE49-F238E27FC236}">
              <a16:creationId xmlns:a16="http://schemas.microsoft.com/office/drawing/2014/main" id="{20954DCE-0A5C-4ECC-9834-0A2B0859F20A}"/>
            </a:ext>
          </a:extLst>
        </xdr:cNvPr>
        <xdr:cNvSpPr>
          <a:spLocks noChangeArrowheads="1"/>
        </xdr:cNvSpPr>
      </xdr:nvSpPr>
      <xdr:spPr bwMode="auto">
        <a:xfrm>
          <a:off x="4460025" y="96411"/>
          <a:ext cx="4407750" cy="1275190"/>
        </a:xfrm>
        <a:prstGeom prst="roundRect">
          <a:avLst>
            <a:gd name="adj" fmla="val 16667"/>
          </a:avLst>
        </a:prstGeom>
        <a:solidFill>
          <a:srgbClr val="FFFFFF"/>
        </a:solidFill>
        <a:ln w="57150" cmpd="thickThin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Calibri"/>
            </a:rPr>
            <a:t>          </a:t>
          </a:r>
          <a:r>
            <a:rPr lang="fr-FR" sz="2400" b="1" i="0" u="sng" strike="noStrike" baseline="0">
              <a:solidFill>
                <a:srgbClr val="000000"/>
              </a:solidFill>
              <a:latin typeface="Calibri"/>
            </a:rPr>
            <a:t>A L'ATTENTION DE:</a:t>
          </a:r>
        </a:p>
        <a:p>
          <a:pPr algn="ctr" rtl="0">
            <a:defRPr sz="1000"/>
          </a:pPr>
          <a:endParaRPr lang="fr-FR" sz="1200" b="1" i="0" u="sng" strike="noStrike" baseline="0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Calibri"/>
            </a:rPr>
            <a:t>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FF28-C5F6-4732-936B-508F684CC09B}">
  <dimension ref="A1:J56"/>
  <sheetViews>
    <sheetView tabSelected="1" view="pageBreakPreview" zoomScaleNormal="100" zoomScaleSheetLayoutView="100" workbookViewId="0">
      <selection activeCell="F23" sqref="F23"/>
    </sheetView>
  </sheetViews>
  <sheetFormatPr baseColWidth="10" defaultRowHeight="15" x14ac:dyDescent="0.25"/>
  <cols>
    <col min="1" max="1" width="61.42578125" customWidth="1"/>
    <col min="2" max="2" width="17.5703125" customWidth="1"/>
    <col min="3" max="3" width="26" customWidth="1"/>
    <col min="4" max="4" width="30.7109375" customWidth="1"/>
    <col min="7" max="8" width="12.85546875" style="3" bestFit="1" customWidth="1"/>
  </cols>
  <sheetData>
    <row r="1" spans="1:10" ht="18.75" x14ac:dyDescent="0.3">
      <c r="A1" s="64" t="s">
        <v>0</v>
      </c>
      <c r="B1" s="64"/>
      <c r="C1" s="16"/>
      <c r="D1" s="13"/>
    </row>
    <row r="2" spans="1:10" ht="18.75" x14ac:dyDescent="0.3">
      <c r="A2" s="15" t="s">
        <v>1</v>
      </c>
      <c r="B2" s="13"/>
      <c r="C2" s="25"/>
      <c r="D2" s="13"/>
    </row>
    <row r="3" spans="1:10" ht="18.75" x14ac:dyDescent="0.3">
      <c r="A3" s="14" t="s">
        <v>2</v>
      </c>
      <c r="B3" s="13"/>
      <c r="C3" s="16"/>
      <c r="D3" s="13"/>
    </row>
    <row r="4" spans="1:10" ht="18.75" x14ac:dyDescent="0.3">
      <c r="A4" s="65" t="s">
        <v>3</v>
      </c>
      <c r="B4" s="65"/>
      <c r="C4" s="16"/>
      <c r="D4" s="13"/>
    </row>
    <row r="5" spans="1:10" ht="18.75" x14ac:dyDescent="0.3">
      <c r="A5" s="14" t="s">
        <v>4</v>
      </c>
      <c r="B5" s="13"/>
      <c r="C5" s="16"/>
      <c r="D5" s="13"/>
    </row>
    <row r="6" spans="1:10" ht="18.75" x14ac:dyDescent="0.3">
      <c r="A6" s="65" t="s">
        <v>5</v>
      </c>
      <c r="B6" s="65"/>
      <c r="C6" s="16"/>
      <c r="D6" s="13"/>
    </row>
    <row r="7" spans="1:10" ht="18.75" x14ac:dyDescent="0.3">
      <c r="A7" s="65" t="s">
        <v>6</v>
      </c>
      <c r="B7" s="65"/>
      <c r="C7" s="65"/>
      <c r="D7" s="13"/>
    </row>
    <row r="8" spans="1:10" ht="12" customHeight="1" x14ac:dyDescent="0.3">
      <c r="A8" s="13"/>
      <c r="B8" s="66"/>
      <c r="C8" s="66"/>
      <c r="D8" s="66"/>
    </row>
    <row r="9" spans="1:10" ht="23.25" x14ac:dyDescent="0.25">
      <c r="A9" s="14" t="s">
        <v>51</v>
      </c>
      <c r="B9" s="66"/>
      <c r="C9" s="66"/>
      <c r="D9" s="66"/>
      <c r="E9" s="5" t="s">
        <v>7</v>
      </c>
    </row>
    <row r="10" spans="1:10" ht="6.75" customHeight="1" x14ac:dyDescent="0.3">
      <c r="A10" s="14"/>
      <c r="B10" s="13"/>
      <c r="C10" s="13"/>
      <c r="D10" s="13"/>
      <c r="E10" s="5"/>
      <c r="J10" t="s">
        <v>38</v>
      </c>
    </row>
    <row r="11" spans="1:10" s="32" customFormat="1" ht="42.75" customHeight="1" x14ac:dyDescent="0.35">
      <c r="A11" s="67" t="s">
        <v>48</v>
      </c>
      <c r="B11" s="67"/>
      <c r="C11" s="67"/>
      <c r="D11" s="67"/>
      <c r="E11" s="31"/>
      <c r="G11" s="33"/>
      <c r="H11" s="33"/>
    </row>
    <row r="12" spans="1:10" ht="21" x14ac:dyDescent="0.35">
      <c r="A12" s="55" t="s">
        <v>8</v>
      </c>
      <c r="B12" s="56"/>
      <c r="C12" s="16"/>
      <c r="D12" s="13"/>
    </row>
    <row r="13" spans="1:10" ht="25.5" customHeight="1" x14ac:dyDescent="0.35">
      <c r="A13" s="55" t="s">
        <v>9</v>
      </c>
      <c r="B13" s="56">
        <v>135780000</v>
      </c>
      <c r="C13" s="13" t="s">
        <v>44</v>
      </c>
      <c r="D13" s="12"/>
    </row>
    <row r="14" spans="1:10" ht="29.25" customHeight="1" x14ac:dyDescent="0.35">
      <c r="A14" s="55" t="s">
        <v>50</v>
      </c>
      <c r="B14" s="32"/>
      <c r="C14" s="16"/>
      <c r="D14" s="13"/>
    </row>
    <row r="15" spans="1:10" ht="35.25" customHeight="1" x14ac:dyDescent="0.3">
      <c r="A15" s="57" t="s">
        <v>49</v>
      </c>
      <c r="B15" s="58"/>
      <c r="C15" s="16"/>
      <c r="D15" s="13"/>
    </row>
    <row r="16" spans="1:10" ht="9" customHeight="1" thickBot="1" x14ac:dyDescent="0.3">
      <c r="A16" s="11"/>
      <c r="B16" s="11"/>
      <c r="C16" s="10"/>
      <c r="D16" s="11"/>
    </row>
    <row r="17" spans="1:8" s="16" customFormat="1" ht="31.5" customHeight="1" thickBot="1" x14ac:dyDescent="0.35">
      <c r="A17" s="28" t="s">
        <v>10</v>
      </c>
      <c r="B17" s="26" t="s">
        <v>11</v>
      </c>
      <c r="C17" s="26" t="s">
        <v>12</v>
      </c>
      <c r="D17" s="26" t="s">
        <v>13</v>
      </c>
      <c r="E17" s="29"/>
      <c r="G17" s="30"/>
      <c r="H17" s="30"/>
    </row>
    <row r="18" spans="1:8" ht="18.75" x14ac:dyDescent="0.25">
      <c r="A18" s="35" t="s">
        <v>24</v>
      </c>
      <c r="B18" s="44"/>
      <c r="C18" s="49"/>
      <c r="D18" s="44"/>
      <c r="E18" s="6"/>
    </row>
    <row r="19" spans="1:8" ht="18.75" x14ac:dyDescent="0.25">
      <c r="A19" s="36" t="s">
        <v>22</v>
      </c>
      <c r="B19" s="45"/>
      <c r="C19" s="50">
        <v>10000</v>
      </c>
      <c r="D19" s="45"/>
      <c r="E19" s="6"/>
    </row>
    <row r="20" spans="1:8" ht="26.25" customHeight="1" x14ac:dyDescent="0.25">
      <c r="A20" s="36" t="s">
        <v>23</v>
      </c>
      <c r="B20" s="20"/>
      <c r="C20" s="34">
        <v>30000</v>
      </c>
      <c r="D20" s="17"/>
    </row>
    <row r="21" spans="1:8" ht="15" customHeight="1" x14ac:dyDescent="0.25">
      <c r="A21" s="37" t="s">
        <v>17</v>
      </c>
      <c r="B21" s="20"/>
      <c r="C21" s="34"/>
      <c r="D21" s="17"/>
    </row>
    <row r="22" spans="1:8" ht="27.75" customHeight="1" x14ac:dyDescent="0.25">
      <c r="A22" s="38" t="s">
        <v>39</v>
      </c>
      <c r="B22" s="46"/>
      <c r="C22" s="34"/>
      <c r="D22" s="17"/>
    </row>
    <row r="23" spans="1:8" ht="37.5" customHeight="1" x14ac:dyDescent="0.25">
      <c r="A23" s="36" t="s">
        <v>46</v>
      </c>
      <c r="B23" s="46"/>
      <c r="C23" s="34">
        <v>1431200</v>
      </c>
      <c r="D23" s="17"/>
    </row>
    <row r="24" spans="1:8" s="7" customFormat="1" ht="19.5" customHeight="1" x14ac:dyDescent="0.25">
      <c r="A24" s="39" t="s">
        <v>16</v>
      </c>
      <c r="B24" s="46"/>
      <c r="C24" s="34">
        <v>500</v>
      </c>
      <c r="D24" s="20"/>
      <c r="G24" s="8"/>
      <c r="H24" s="8"/>
    </row>
    <row r="25" spans="1:8" s="7" customFormat="1" ht="18" customHeight="1" x14ac:dyDescent="0.25">
      <c r="A25" s="40" t="s">
        <v>18</v>
      </c>
      <c r="B25" s="46"/>
      <c r="C25" s="34"/>
      <c r="D25" s="20"/>
      <c r="G25" s="8"/>
      <c r="H25" s="8"/>
    </row>
    <row r="26" spans="1:8" ht="30" customHeight="1" x14ac:dyDescent="0.25">
      <c r="A26" s="38" t="s">
        <v>20</v>
      </c>
      <c r="B26" s="46"/>
      <c r="C26" s="34">
        <f>B13*1.2%+3000</f>
        <v>1632360</v>
      </c>
      <c r="D26" s="17"/>
    </row>
    <row r="27" spans="1:8" ht="18" customHeight="1" x14ac:dyDescent="0.25">
      <c r="A27" s="38" t="s">
        <v>25</v>
      </c>
      <c r="B27" s="47"/>
      <c r="C27" s="34">
        <v>6000</v>
      </c>
      <c r="D27" s="17"/>
    </row>
    <row r="28" spans="1:8" ht="27.75" customHeight="1" x14ac:dyDescent="0.25">
      <c r="A28" s="38" t="s">
        <v>29</v>
      </c>
      <c r="B28" s="46"/>
      <c r="C28" s="34">
        <v>5000</v>
      </c>
      <c r="D28" s="17"/>
    </row>
    <row r="29" spans="1:8" ht="25.5" customHeight="1" x14ac:dyDescent="0.25">
      <c r="A29" s="38" t="s">
        <v>28</v>
      </c>
      <c r="B29" s="46"/>
      <c r="C29" s="34">
        <v>15000</v>
      </c>
      <c r="D29" s="17"/>
    </row>
    <row r="30" spans="1:8" ht="20.25" customHeight="1" x14ac:dyDescent="0.25">
      <c r="A30" s="41" t="s">
        <v>19</v>
      </c>
      <c r="B30" s="46"/>
      <c r="C30" s="34"/>
      <c r="D30" s="17"/>
    </row>
    <row r="31" spans="1:8" ht="21.75" customHeight="1" x14ac:dyDescent="0.25">
      <c r="A31" s="38" t="s">
        <v>26</v>
      </c>
      <c r="B31" s="46"/>
      <c r="C31" s="34">
        <v>30000</v>
      </c>
      <c r="D31" s="17"/>
    </row>
    <row r="32" spans="1:8" ht="22.5" customHeight="1" x14ac:dyDescent="0.25">
      <c r="A32" s="38" t="s">
        <v>40</v>
      </c>
      <c r="B32" s="46"/>
      <c r="C32" s="34"/>
      <c r="D32" s="54">
        <v>700000</v>
      </c>
    </row>
    <row r="33" spans="1:4" ht="20.25" customHeight="1" x14ac:dyDescent="0.25">
      <c r="A33" s="41" t="s">
        <v>11</v>
      </c>
      <c r="B33" s="46"/>
      <c r="C33" s="34"/>
      <c r="D33" s="17"/>
    </row>
    <row r="34" spans="1:4" ht="30.75" customHeight="1" x14ac:dyDescent="0.25">
      <c r="A34" s="38" t="s">
        <v>43</v>
      </c>
      <c r="B34" s="46">
        <f>(B13*0.5%)+850000</f>
        <v>1528900</v>
      </c>
      <c r="C34" s="34"/>
      <c r="D34" s="17"/>
    </row>
    <row r="35" spans="1:4" ht="19.5" customHeight="1" x14ac:dyDescent="0.25">
      <c r="A35" s="39" t="s">
        <v>21</v>
      </c>
      <c r="B35" s="46"/>
      <c r="C35" s="34"/>
      <c r="D35" s="52"/>
    </row>
    <row r="36" spans="1:4" ht="35.25" customHeight="1" x14ac:dyDescent="0.25">
      <c r="A36" s="39" t="s">
        <v>37</v>
      </c>
      <c r="B36" s="46">
        <v>75000</v>
      </c>
      <c r="C36" s="34"/>
      <c r="D36" s="52"/>
    </row>
    <row r="37" spans="1:4" ht="24.75" customHeight="1" x14ac:dyDescent="0.25">
      <c r="A37" s="42" t="s">
        <v>42</v>
      </c>
      <c r="B37" s="46">
        <v>15000</v>
      </c>
      <c r="C37" s="34"/>
      <c r="D37" s="52"/>
    </row>
    <row r="38" spans="1:4" ht="24" customHeight="1" x14ac:dyDescent="0.25">
      <c r="A38" s="42" t="s">
        <v>36</v>
      </c>
      <c r="B38" s="47">
        <v>10000</v>
      </c>
      <c r="C38" s="34"/>
      <c r="D38" s="52"/>
    </row>
    <row r="39" spans="1:4" ht="27" customHeight="1" x14ac:dyDescent="0.25">
      <c r="A39" s="42" t="s">
        <v>30</v>
      </c>
      <c r="B39" s="47">
        <v>1000</v>
      </c>
      <c r="C39" s="34"/>
      <c r="D39" s="52"/>
    </row>
    <row r="40" spans="1:4" ht="27" customHeight="1" x14ac:dyDescent="0.25">
      <c r="A40" s="42" t="s">
        <v>31</v>
      </c>
      <c r="B40" s="47">
        <v>75000</v>
      </c>
      <c r="C40" s="34"/>
      <c r="D40" s="52"/>
    </row>
    <row r="41" spans="1:4" ht="24.75" customHeight="1" x14ac:dyDescent="0.25">
      <c r="A41" s="42" t="s">
        <v>32</v>
      </c>
      <c r="B41" s="47">
        <v>30000</v>
      </c>
      <c r="C41" s="34"/>
      <c r="D41" s="52"/>
    </row>
    <row r="42" spans="1:4" ht="38.25" customHeight="1" x14ac:dyDescent="0.25">
      <c r="A42" s="42" t="s">
        <v>33</v>
      </c>
      <c r="B42" s="47">
        <v>15000</v>
      </c>
      <c r="C42" s="34"/>
      <c r="D42" s="52"/>
    </row>
    <row r="43" spans="1:4" ht="20.25" customHeight="1" x14ac:dyDescent="0.25">
      <c r="A43" s="39" t="s">
        <v>27</v>
      </c>
      <c r="B43" s="46">
        <v>20000</v>
      </c>
      <c r="C43" s="34"/>
      <c r="D43" s="52"/>
    </row>
    <row r="44" spans="1:4" ht="29.25" customHeight="1" x14ac:dyDescent="0.25">
      <c r="A44" s="39" t="s">
        <v>35</v>
      </c>
      <c r="B44" s="46">
        <v>40000</v>
      </c>
      <c r="C44" s="34"/>
      <c r="D44" s="52"/>
    </row>
    <row r="45" spans="1:4" ht="19.5" customHeight="1" x14ac:dyDescent="0.25">
      <c r="A45" s="39" t="s">
        <v>41</v>
      </c>
      <c r="B45" s="46">
        <v>15000</v>
      </c>
      <c r="C45" s="34"/>
      <c r="D45" s="53"/>
    </row>
    <row r="46" spans="1:4" ht="23.25" customHeight="1" thickBot="1" x14ac:dyDescent="0.3">
      <c r="A46" s="43" t="s">
        <v>34</v>
      </c>
      <c r="B46" s="48"/>
      <c r="C46" s="51"/>
      <c r="D46" s="53">
        <v>350000</v>
      </c>
    </row>
    <row r="47" spans="1:4" ht="24.75" customHeight="1" thickBot="1" x14ac:dyDescent="0.3">
      <c r="A47" s="18" t="s">
        <v>14</v>
      </c>
      <c r="B47" s="21">
        <f>SUM(B22:B46)</f>
        <v>1824900</v>
      </c>
      <c r="C47" s="21">
        <f>SUM(C19:C46)</f>
        <v>3160060</v>
      </c>
      <c r="D47" s="21">
        <f>SUM(D45:D46)+D32</f>
        <v>1050000</v>
      </c>
    </row>
    <row r="48" spans="1:4" ht="21.75" customHeight="1" thickBot="1" x14ac:dyDescent="0.35">
      <c r="A48" s="13"/>
      <c r="B48" s="59">
        <f>B47+C47+D47</f>
        <v>6034960</v>
      </c>
      <c r="C48" s="60"/>
      <c r="D48" s="19"/>
    </row>
    <row r="49" spans="1:5" ht="18.75" x14ac:dyDescent="0.25">
      <c r="A49" s="14" t="s">
        <v>15</v>
      </c>
      <c r="B49" s="22"/>
      <c r="C49" s="23"/>
      <c r="D49" s="22"/>
    </row>
    <row r="50" spans="1:5" ht="30" customHeight="1" x14ac:dyDescent="0.25">
      <c r="A50" s="61" t="s">
        <v>47</v>
      </c>
      <c r="B50" s="61"/>
      <c r="C50" s="61"/>
      <c r="D50" s="61"/>
    </row>
    <row r="51" spans="1:5" ht="40.5" customHeight="1" x14ac:dyDescent="0.25">
      <c r="A51" s="14" t="s">
        <v>45</v>
      </c>
      <c r="B51" s="24"/>
      <c r="C51" s="24"/>
      <c r="D51" s="24"/>
    </row>
    <row r="52" spans="1:5" ht="18.75" x14ac:dyDescent="0.3">
      <c r="A52" s="62"/>
      <c r="B52" s="62"/>
      <c r="C52" s="63"/>
      <c r="D52" s="63"/>
      <c r="E52" s="4"/>
    </row>
    <row r="53" spans="1:5" ht="18.75" x14ac:dyDescent="0.3">
      <c r="A53" s="13"/>
      <c r="B53" s="13"/>
      <c r="C53" s="27"/>
      <c r="D53" s="27"/>
      <c r="E53" s="4"/>
    </row>
    <row r="54" spans="1:5" ht="15.75" x14ac:dyDescent="0.25">
      <c r="A54" s="1"/>
      <c r="B54" s="11"/>
      <c r="C54" s="12"/>
      <c r="D54" s="12"/>
    </row>
    <row r="55" spans="1:5" ht="15.75" x14ac:dyDescent="0.25">
      <c r="A55" s="1"/>
      <c r="B55" s="11"/>
      <c r="C55" s="12"/>
      <c r="D55" s="12"/>
    </row>
    <row r="56" spans="1:5" x14ac:dyDescent="0.25">
      <c r="A56" s="9"/>
      <c r="C56" s="2"/>
    </row>
  </sheetData>
  <mergeCells count="10">
    <mergeCell ref="B48:C48"/>
    <mergeCell ref="A50:D50"/>
    <mergeCell ref="A52:B52"/>
    <mergeCell ref="C52:D52"/>
    <mergeCell ref="A1:B1"/>
    <mergeCell ref="A4:B4"/>
    <mergeCell ref="A6:B6"/>
    <mergeCell ref="A7:C7"/>
    <mergeCell ref="B8:D9"/>
    <mergeCell ref="A11:D11"/>
  </mergeCells>
  <pageMargins left="0.70866141732283472" right="0.70866141732283472" top="0.74803149606299213" bottom="0.74803149606299213" header="0.31496062992125984" footer="0.31496062992125984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TP DONATION N°1</vt:lpstr>
      <vt:lpstr>'TP DONATION N°1'!Zone_d_impression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Comptabilité-01</dc:creator>
  <cp:lastModifiedBy>Office</cp:lastModifiedBy>
  <cp:lastPrinted>2026-05-22T12:06:06Z</cp:lastPrinted>
  <dcterms:created xsi:type="dcterms:W3CDTF">2023-03-22T10:11:17Z</dcterms:created>
  <dcterms:modified xsi:type="dcterms:W3CDTF">2026-08-28T16:05:08Z</dcterms:modified>
</cp:coreProperties>
</file>